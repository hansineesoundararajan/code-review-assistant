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6380" windowHeight="8196" tabRatio="500"/>
  </bookViews>
  <sheets>
    <sheet name="Summary" sheetId="1" r:id="rId1"/>
    <sheet name="Audit" sheetId="2" r:id="rId2"/>
    <sheet name="Audit before fixes" sheetId="3" r:id="rId3"/>
    <sheet name="Rating" sheetId="4" r:id="rId4"/>
    <sheet name="Model findings" sheetId="5" r:id="rId5"/>
  </sheets>
  <definedNames>
    <definedName name="_xlnm._FilterDatabase" localSheetId="1" hidden="1">Audit!$A$1:$I$51</definedName>
    <definedName name="_xlnm._FilterDatabase" localSheetId="2" hidden="1">'Audit before fixes'!$A$1:$I$51</definedName>
    <definedName name="_xlnm._FilterDatabase" localSheetId="4" hidden="1">'Model findings'!$A$1:$G$11</definedName>
    <definedName name="_xlnm._FilterDatabase" localSheetId="3" hidden="1">Rating!$A$1:$I$21</definedName>
    <definedName name="_xlnm.Print_Titles" localSheetId="1">Audit!$1:$1</definedName>
    <definedName name="_xlnm.Print_Titles" localSheetId="2">'Audit before fixes'!$1:$1</definedName>
    <definedName name="_xlnm.Print_Titles" localSheetId="4">'Model findings'!$1:$1</definedName>
    <definedName name="_xlnm.Print_Titles" localSheetId="3">Rating!$1:$1</definedName>
  </definedNames>
  <calcPr calcId="14562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45" i="1" l="1"/>
  <c r="B45" i="1"/>
  <c r="C44" i="1"/>
  <c r="B44" i="1"/>
  <c r="C43" i="1"/>
  <c r="B43" i="1"/>
  <c r="B39" i="1"/>
  <c r="B38" i="1"/>
  <c r="B37" i="1"/>
  <c r="B36" i="1"/>
  <c r="B35" i="1"/>
  <c r="C32" i="1"/>
  <c r="B32" i="1"/>
  <c r="C31" i="1"/>
  <c r="B31" i="1"/>
  <c r="C30" i="1"/>
  <c r="B30" i="1"/>
  <c r="D26" i="1"/>
  <c r="C26" i="1"/>
  <c r="B26" i="1"/>
  <c r="D25" i="1"/>
  <c r="C25" i="1"/>
  <c r="B25" i="1"/>
  <c r="D24" i="1"/>
  <c r="C24" i="1"/>
  <c r="B24" i="1"/>
  <c r="D23" i="1"/>
  <c r="C23" i="1"/>
  <c r="B23" i="1"/>
  <c r="E19" i="1"/>
  <c r="D19" i="1"/>
  <c r="C19" i="1"/>
  <c r="F19" i="1" s="1"/>
  <c r="B19" i="1"/>
  <c r="E18" i="1"/>
  <c r="D18" i="1"/>
  <c r="C18" i="1"/>
  <c r="F18" i="1" s="1"/>
  <c r="B18" i="1"/>
  <c r="E17" i="1"/>
  <c r="D17" i="1"/>
  <c r="C17" i="1"/>
  <c r="F17" i="1" s="1"/>
  <c r="B17" i="1"/>
  <c r="F16" i="1"/>
  <c r="E16" i="1"/>
  <c r="D16" i="1"/>
  <c r="C16" i="1"/>
  <c r="B16" i="1"/>
  <c r="E15" i="1"/>
  <c r="D15" i="1"/>
  <c r="C15" i="1"/>
  <c r="F15" i="1" s="1"/>
  <c r="B15" i="1"/>
  <c r="E11" i="1"/>
  <c r="D11" i="1"/>
  <c r="C11" i="1"/>
  <c r="F11" i="1" s="1"/>
  <c r="B11" i="1"/>
  <c r="E9" i="1"/>
  <c r="D9" i="1"/>
  <c r="C9" i="1"/>
  <c r="F9" i="1" s="1"/>
  <c r="B9" i="1"/>
  <c r="F8" i="1"/>
  <c r="E8" i="1"/>
  <c r="D8" i="1"/>
  <c r="C8" i="1"/>
  <c r="B8" i="1"/>
  <c r="E7" i="1"/>
  <c r="E10" i="1" s="1"/>
  <c r="D7" i="1"/>
  <c r="F7" i="1" s="1"/>
  <c r="C7" i="1"/>
  <c r="B7" i="1"/>
  <c r="E6" i="1"/>
  <c r="D6" i="1"/>
  <c r="D10" i="1" s="1"/>
  <c r="C6" i="1"/>
  <c r="C10" i="1" s="1"/>
  <c r="F10" i="1" s="1"/>
  <c r="B6" i="1"/>
  <c r="B10" i="1" s="1"/>
  <c r="F6" i="1" l="1"/>
</calcChain>
</file>

<file path=xl/sharedStrings.xml><?xml version="1.0" encoding="utf-8"?>
<sst xmlns="http://schemas.openxmlformats.org/spreadsheetml/2006/main" count="1086" uniqueCount="492">
  <si>
    <t>Code Review Assistant: human review of outputs</t>
  </si>
  <si>
    <t>1. Precision on code nobody here wrote (fresh stdlib sample, after the rule fixes)</t>
  </si>
  <si>
    <t>Category</t>
  </si>
  <si>
    <t>Findings</t>
  </si>
  <si>
    <t>Real</t>
  </si>
  <si>
    <t>False</t>
  </si>
  <si>
    <t>Unsure</t>
  </si>
  <si>
    <t>Precision</t>
  </si>
  <si>
    <t>bug</t>
  </si>
  <si>
    <t>security</t>
  </si>
  <si>
    <t>style</t>
  </si>
  <si>
    <t>optimization</t>
  </si>
  <si>
    <t>All</t>
  </si>
  <si>
    <t>Before the fixes (first sample, for comparison)</t>
  </si>
  <si>
    <t>By severity (fresh sample)</t>
  </si>
  <si>
    <t>Severity</t>
  </si>
  <si>
    <t>critical</t>
  </si>
  <si>
    <t>high</t>
  </si>
  <si>
    <t>medium</t>
  </si>
  <si>
    <t>low</t>
  </si>
  <si>
    <t>info</t>
  </si>
  <si>
    <t>Remaining sources of false positives (fresh sample)</t>
  </si>
  <si>
    <t>Rule</t>
  </si>
  <si>
    <t>B005 bare except (most re-raise)</t>
  </si>
  <si>
    <t>S002 exec() where running code is the purpose</t>
  </si>
  <si>
    <t>Y014 long lines (a generated file)</t>
  </si>
  <si>
    <t>O004 list comprehension</t>
  </si>
  <si>
    <t>2. Usefulness of the 7B model's explanations and fixes (1 to 5)</t>
  </si>
  <si>
    <t>Group</t>
  </si>
  <si>
    <t>Rows</t>
  </si>
  <si>
    <t>Average</t>
  </si>
  <si>
    <t>All rows</t>
  </si>
  <si>
    <t>Optimisation suggestions</t>
  </si>
  <si>
    <t>Model's own findings (LLM001)</t>
  </si>
  <si>
    <t>Score</t>
  </si>
  <si>
    <t>3. The 7B model on the 10 rule-blind bugs</t>
  </si>
  <si>
    <t>Outcome</t>
  </si>
  <si>
    <t>Automatic</t>
  </si>
  <si>
    <t>By hand</t>
  </si>
  <si>
    <t>Right</t>
  </si>
  <si>
    <t>Wrong</t>
  </si>
  <si>
    <t>Nothing reported</t>
  </si>
  <si>
    <t>How to read this</t>
  </si>
  <si>
    <t>Precision counts real / (real + false); unsure rows are left out.</t>
  </si>
  <si>
    <t>Audit: real = the issue is true and worth a reviewer's time; false = the issue is wrong, or the code is right as it is.</t>
  </si>
  <si>
    <t>Rating: 5 correct, specific, usable fix; 4 correct with small gaps; 3 correct but generic; 2 vague or partly wrong; 1 wrong or harmful.</t>
  </si>
  <si>
    <t>The audit samples about 12 findings per category, so 'All' is not weighted by how often each category occurs.</t>
  </si>
  <si>
    <t>The fresh sample (seed 11) was drawn after the three noisiest rules were narrowed using the first sample (seed 7).</t>
  </si>
  <si>
    <t>file</t>
  </si>
  <si>
    <t>line</t>
  </si>
  <si>
    <t>category</t>
  </si>
  <si>
    <t>rule</t>
  </si>
  <si>
    <t>severity</t>
  </si>
  <si>
    <t>issue</t>
  </si>
  <si>
    <t>code</t>
  </si>
  <si>
    <t>verdict</t>
  </si>
  <si>
    <t>comment</t>
  </si>
  <si>
    <t>_pydecimal.py</t>
  </si>
  <si>
    <t>B008</t>
  </si>
  <si>
    <t>Exact equality comparison against a float</t>
  </si>
  <si>
    <t xml:space="preserve"> 614              if _math.isinf(f) or _math.isnan(f):
 615                  return cls(repr(f))
 616              if _math.copysign(1.0, f) == 1.0:
 617                  sign = 0
 618              else:</t>
  </si>
  <si>
    <t>false</t>
  </si>
  <si>
    <t>copysign returns exactly 1.0 or -1.0, so == is exact here.</t>
  </si>
  <si>
    <t>B001</t>
  </si>
  <si>
    <t>Mutable default argument in '_log10_lb'</t>
  </si>
  <si>
    <t>5945      return coeff, exp
5946  
5947  def _log10_lb(c, correction = {
5948          '1': 100, '2': 70, '3': 53, '4': 40, '5': 31,
5949          '6': 23, '7': 16, '8': 10, '9': 5}):</t>
  </si>
  <si>
    <t>Read-only lookup table bound as a default on purpose (fast local access); it is never mutated.</t>
  </si>
  <si>
    <t>unix_events.py</t>
  </si>
  <si>
    <t>B005</t>
  </si>
  <si>
    <t>Bare except catches everything, including KeyboardInterrupt</t>
  </si>
  <si>
    <t xml:space="preserve"> 330                  else:
 331                      raise
 332              except:
 333                  sock.close()
 334                  raise</t>
  </si>
  <si>
    <t>Cleanup, then a bare raise: catching everything is deliberate and the error still propagates.</t>
  </si>
  <si>
    <t>windows_utils.py</t>
  </si>
  <si>
    <t xml:space="preserve"> 161              super().__init__(args, stdin=stdin_rfd, stdout=stdout_wfd,
 162                               stderr=stderr_wfd, **kwds)
 163          except:
 164              for h in (stdin_wh, stdout_rh, stderr_rh):
 165                  if h is not None:</t>
  </si>
  <si>
    <t>bdb.py</t>
  </si>
  <si>
    <t>B013</t>
  </si>
  <si>
    <t>'bp' is assigned but never used in 'set_break'</t>
  </si>
  <si>
    <t xml:space="preserve"> 459              return 'Line %s:%d does not exist' % (filename, lineno)
 460          self._add_to_breaks(filename, lineno)
 461          bp = Breakpoint(filename, lineno, temporary, cond, funcname)
 462          # After we set a new breakpoint, we need to search through all frames
 463          # and set f_trace to trace_dispatch if there could be a breakpoint in</t>
  </si>
  <si>
    <t>real</t>
  </si>
  <si>
    <t>True: the name bp is never used. The call is needed for its side effect, so only the binding should go.</t>
  </si>
  <si>
    <t>codecs.py</t>
  </si>
  <si>
    <t xml:space="preserve"> 929          srw.encoding = encoding
 930          return srw
 931      except:
 932          file.close()
 933          raise</t>
  </si>
  <si>
    <t>_parseaddr.py</t>
  </si>
  <si>
    <t>B002</t>
  </si>
  <si>
    <t>'parsedate_tz' sometimes returns a value and sometimes returns None</t>
  </si>
  <si>
    <t xml:space="preserve">  50      res = _parsedate_tz(data)
  51      if not res:
  52          return
  53      if res[9] is None:
  54          res[9] = 0</t>
  </si>
  <si>
    <t>True: bare 'return' mixed with 'return value'. PEP 8 asks for an explicit 'return None'. Style, not a bug.</t>
  </si>
  <si>
    <t>selectors.py</t>
  </si>
  <si>
    <t xml:space="preserve"> 371              try:
 372                  self._selector.modify(key.fd, selector_events)
 373              except:
 374                  super().unregister(fileobj)
 375                  raise</t>
  </si>
  <si>
    <t xml:space="preserve"> 510                      self._selector.control([kev], 0, 0)
 511                      self._max_events += 1
 512              except:
 513                  super().unregister(fileobj)
 514                  raise</t>
  </si>
  <si>
    <t>threading.py</t>
  </si>
  <si>
    <t>1014          try:
1015              self._bootstrap_inner()
1016          except:
1017              if self._daemonic and _sys is None:
1018                  return</t>
  </si>
  <si>
    <t>Thread bootstrap during interpreter shutdown: catching everything is deliberate.</t>
  </si>
  <si>
    <t>turtle.py</t>
  </si>
  <si>
    <t>2745          except (TypeError, ValueError):
2746              raise TurtleGraphicsError("bad color arguments: %s" % str(args))
2747          if self.screen._colormode == 1.0:
2748              r, g, b = [round(255.0*x) for x in (r, g, b)]
2749          if not ((0 &lt;= r &lt;= 255) and (0 &lt;= g &lt;= 255) and (0 &lt;= b &lt;= 255)):</t>
  </si>
  <si>
    <t>colormode is set to exactly 1.0 or 255, never computed, so == is exact.</t>
  </si>
  <si>
    <t>uuid.py</t>
  </si>
  <si>
    <t xml:space="preserve"> 654          try:
 655              _node = getter()
 656          except:
 657              continue
 658          if (_node is not None) and (0 &lt;= _node &lt; (1 &lt;&lt; 48)):</t>
  </si>
  <si>
    <t>Real: 'except: continue' also swallows KeyboardInterrupt and SystemExit; 'except Exception' is meant.</t>
  </si>
  <si>
    <t>readline.py</t>
  </si>
  <si>
    <t>O001</t>
  </si>
  <si>
    <t>for i in range(len(x)) can be enumerate(x)</t>
  </si>
  <si>
    <t xml:space="preserve"> 233  def _get_first_indentation(buffer: list[str]) -&gt; str | None:
 234      indented_line_start = None
 235      for i in range(len(buffer)):
 236          if (i &lt; len(buffer) - 1
 237              and buffer[i] == "\n"</t>
  </si>
  <si>
    <t>The index is needed for the lookahead (buffer[i + 1]); enumerate gains little.</t>
  </si>
  <si>
    <t>argparse.py</t>
  </si>
  <si>
    <t>O004</t>
  </si>
  <si>
    <t>Loop only appends; a list comprehension is faster and clearer</t>
  </si>
  <si>
    <t xml:space="preserve"> 118          arg_strings = []
 119          star_args = {}
 120          for arg in self._get_args():
 121              arg_strings.append(repr(arg))
 122          for name, value in self._get_kwargs():</t>
  </si>
  <si>
    <t>True: arg_strings = [repr(arg) for arg in self._get_args()] is clearer.</t>
  </si>
  <si>
    <t xml:space="preserve"> 265              get_invocation = self._format_action_invocation
 266              invocation_lengths = [len(get_invocation(action)) + self._current_indent]
 267              for subaction in self._iter_indented_subactions(action):
 268                  invocation_lengths.append(len(get_invocation(subaction)) + self._current_indent)
 269  </t>
  </si>
  <si>
    <t>The loop appends to a list that already holds items (or to another object's list), so a list comprehension does not apply; extend() might.</t>
  </si>
  <si>
    <t xml:space="preserve"> 539                  help_lines = self._split_lines(help_text, help_width)
 540                  parts.append('%*s%s\n' % (indent_first, '', help_lines[0]))
 541                  for line in help_lines[1:]:
 542                      parts.append('%*s%s\n' % (help_position, '', line))
 543  </t>
  </si>
  <si>
    <t xml:space="preserve"> 547  
 548          # if there are any sub-actions, add their help as well
 549          for subaction in self._iter_indented_subactions(action):
 550              parts.append(self._format_action(subaction))
 551  </t>
  </si>
  <si>
    <t>2298                          arg_strings = []
2299                          for arg_line in args_file.read().splitlines():
2300                              for arg in self.convert_arg_line_to_args(arg_line):
2301                                  arg_strings.append(arg)
2302                          arg_strings = self._read_args_from_files(arg_strings)</t>
  </si>
  <si>
    <t>True: the nested loop is arg_strings.extend(...) or one comprehension.</t>
  </si>
  <si>
    <t>O002</t>
  </si>
  <si>
    <t>Iterating over .keys() is redundant</t>
  </si>
  <si>
    <t xml:space="preserve"> 478          active across multiple calls to run().
 479          """
 480          for (filename, lineno) in Breakpoint.bplist.keys():
 481              self._add_to_breaks(filename, lineno)
 482  </t>
  </si>
  <si>
    <t>True: .keys() is redundant. Cosmetic.</t>
  </si>
  <si>
    <t>_base.py</t>
  </si>
  <si>
    <t xml:space="preserve"> 169              raise ValueError("Invalid return condition: %r" % return_when)
 170  
 171      for f in fs:
 172          f._waiters.append(waiter)
 173  </t>
  </si>
  <si>
    <t>Appends to each future's own _waiters list, not building one list. The rule misread it.</t>
  </si>
  <si>
    <t>has_key.py</t>
  </si>
  <si>
    <t xml:space="preserve"> 182          L = []
 183          _curses.initscr()
 184          for key in _capability_names.keys():
 185              system = _curses.has_key(key)
 186              python = has_key(key)</t>
  </si>
  <si>
    <t>os.py</t>
  </si>
  <si>
    <t xml:space="preserve"> 438              stack.append((top, dirs, nondirs))
 439              # Traverse into sub-directories
 440              for new_path in reversed(walk_dirs):
 441                  stack.append(new_path)
 442  </t>
  </si>
  <si>
    <t xml:space="preserve"> 307      _dict = {}
 308      mfc = __methods(fromClass)
 309      for ex in _dict_1.keys():
 310          if ex[:1] == '_' or ex[-1:] == '_' or ex in exclude or ex in mfc:
 311              pass</t>
  </si>
  <si>
    <t xml:space="preserve"> 427      for line in stdout:
 428          words = line.lower().rstrip().split()
 429          for i in range(len(words)):
 430              if words[i] in keywords:
 431                  try:</t>
  </si>
  <si>
    <t>The index is used for lookahead into the next word; enumerate gains little.</t>
  </si>
  <si>
    <t>validate.py</t>
  </si>
  <si>
    <t xml:space="preserve"> 317              WSGIWarning)
 318  
 319      for key in environ.keys():
 320          if '.' in key:
 321              # Extension, we don't care about its type</t>
  </si>
  <si>
    <t>S013</t>
  </si>
  <si>
    <t>assert checks an argument but is removed when Python runs with -O</t>
  </si>
  <si>
    <t>1124  
1125      def _do_waitpid(self, expected_pid):
1126          assert expected_pid &gt; 0
1127  
1128          try:</t>
  </si>
  <si>
    <t>Private helper; the caller guarantees a positive pid. An internal invariant.</t>
  </si>
  <si>
    <t xml:space="preserve"> 138      def __init__(self, args, stdin=None, stdout=None, stderr=None, **kwds):
 139          assert not kwds.get('universal_newlines')
 140          assert kwds.get('bufsize', 0) == 0
 141          stdin_rfd = stdout_wfd = stderr_wfd = None
 142          stdin_wh = stdout_rh = stderr_rh = None</t>
  </si>
  <si>
    <t>Real: checks options passed in by the caller. Under python -O an unsupported option is silently accepted.</t>
  </si>
  <si>
    <t>cProfile.py</t>
  </si>
  <si>
    <t>S002</t>
  </si>
  <si>
    <t>exec() executes arbitrary code</t>
  </si>
  <si>
    <t xml:space="preserve"> 102          self.enable()
 103          try:
 104              exec(cmd, globals, locals)
 105          finally:
 106              self.disable()</t>
  </si>
  <si>
    <t>True, but executing this is the function's documented purpose; the input is the caller's own code or command.</t>
  </si>
  <si>
    <t>hex_codec.py</t>
  </si>
  <si>
    <t xml:space="preserve">  12  
  13  def hex_encode(input, errors='strict'):
  14      assert errors == 'strict'
  15      return (binascii.b2a_hex(input), len(input))
  16  </t>
  </si>
  <si>
    <t>Real: public codec argument. Under -O any errors value is silently accepted.</t>
  </si>
  <si>
    <t>zlib_codec.py</t>
  </si>
  <si>
    <t xml:space="preserve">  43  class IncrementalDecoder(codecs.IncrementalDecoder):
  44      def __init__(self, errors='strict'):
  45          assert errors == 'strict'
  46          self.errors = errors
  47          self.decompressobj = zlib.decompressobj()</t>
  </si>
  <si>
    <t>gettext.py</t>
  </si>
  <si>
    <t xml:space="preserve"> 217  
 218          ns = {'_as_int': _as_int, '__name__': __name__}
 219          exec('''if True:
 220              def func(n):
 221                  if not isinstance(n, int):</t>
  </si>
  <si>
    <t>Worth a reviewer's eye: executes code built from a translation file's plural expression; safe only because the tokenizer validates it first.</t>
  </si>
  <si>
    <t>S007</t>
  </si>
  <si>
    <t>subprocess called with shell=True</t>
  </si>
  <si>
    <t>1023          import subprocess
1024          if mode == "r":
1025              proc = subprocess.Popen(cmd,
1026                                      shell=True, text=True,
1027                                      stdout=subprocess.PIPE,</t>
  </si>
  <si>
    <t>True, but executing this is the function's documented purpose; the input is the caller's own code or command. os.popen is defined as running a shell command.</t>
  </si>
  <si>
    <t>platform.py</t>
  </si>
  <si>
    <t xml:space="preserve"> 285      for cmd in ('ver', 'command /c ver', 'cmd /c ver'):
 286          try:
 287              info = subprocess.check_output(cmd,
 288                                             stdin=subprocess.DEVNULL,
 289                                             stderr=subprocess.DEVNULL,</t>
  </si>
  <si>
    <t>shell=True with fixed command strings ('ver'); nothing from outside reaches the shell.</t>
  </si>
  <si>
    <t>runpy.py</t>
  </si>
  <si>
    <t xml:space="preserve">  86                         __package__ = pkg_name,
  87                         __spec__ = mod_spec)
  88      exec(code, run_globals)
  89      return run_globals
  90  </t>
  </si>
  <si>
    <t xml:space="preserve"> 933              # This thread is alive.
 934              self._ident = new_ident
 935              assert self._handle.ident == new_ident
 936              if _HAVE_THREAD_NATIVE_ID:
 937                  self._set_native_id()</t>
  </si>
  <si>
    <t>Private method; compares internal thread state. An invariant, not input validation.</t>
  </si>
  <si>
    <t xml:space="preserve">4035          defstr = __func_body.format(obj=obj, init=init, name=methodname,
4036                                      paramslist=pl1, argslist=pl2)
4037          exec(defstr, globals())
4038          globals()[methodname].__doc__ = docrevise(method.__doc__)
4039  </t>
  </si>
  <si>
    <t>Code generated from the module's own method signatures; no outside input.</t>
  </si>
  <si>
    <t xml:space="preserve"> 189              if len(bytes) != 16:
 190                  raise ValueError('bytes is not a 16-char string')
 191              assert isinstance(bytes, bytes_), repr(bytes)
 192              int = int_.from_bytes(bytes)  # big endian
 193          if fields is not None:</t>
  </si>
  <si>
    <t>Real: public UUID() argument. Under -O a list of 16 ints would pass and build a UUID.</t>
  </si>
  <si>
    <t>historical_reader.py</t>
  </si>
  <si>
    <t>Y008</t>
  </si>
  <si>
    <t>Class name 'next_history' is not PascalCase</t>
  </si>
  <si>
    <t xml:space="preserve">  54  
  55  
  56  class next_history(commands.Command):
  57      def do(self) -&gt; None:
  58          r = self.reader</t>
  </si>
  <si>
    <t>Deliberate: command classes are named after the editor commands they implement.</t>
  </si>
  <si>
    <t>Class name 'previous_history' is not PascalCase</t>
  </si>
  <si>
    <t xml:space="preserve">  63  
  64  
  65  class previous_history(commands.Command):
  66      def do(self) -&gt; None:
  67          r = self.reader</t>
  </si>
  <si>
    <t>Y004</t>
  </si>
  <si>
    <t>Public function 'finish' has no docstring</t>
  </si>
  <si>
    <t xml:space="preserve"> 407                      p = len(s)
 408  
 409      def finish(self) -&gt; None:
 410          super().finish()
 411          ret = self.get_unicode()</t>
  </si>
  <si>
    <t>Overrides a documented base-class method; a docstring would repeat it.</t>
  </si>
  <si>
    <t>Y011</t>
  </si>
  <si>
    <t>'format' shadows a builtin</t>
  </si>
  <si>
    <t xml:space="preserve"> 762      def __str__(self):
 763          if self.argument_name is None:
 764              format = '%(message)s'
 765          else:
 766              format = _('argument %(argument_name)s: %(message)s')</t>
  </si>
  <si>
    <t>True: local variable 'format' shadows the builtin. Low impact.</t>
  </si>
  <si>
    <t>Y005</t>
  </si>
  <si>
    <t>'__init__' takes 11 parameters (limit 5)</t>
  </si>
  <si>
    <t>1041  class _AppendAction(Action):
1042  
1043      def __init__(self,
1044                   option_strings,
1045                   dest,</t>
  </si>
  <si>
    <t>Public argparse Action API; the parameters cannot change.</t>
  </si>
  <si>
    <t>generator.py</t>
  </si>
  <si>
    <t>Y007</t>
  </si>
  <si>
    <t>'_handle_multipart' has cyclomatic complexity 12 (limit 10)</t>
  </si>
  <si>
    <t xml:space="preserve"> 267      _writeBody = _handle_text
 268  
 269      def _handle_multipart(self, msg):
 270          # The trick here is to write out each part separately, merge them all
 271          # together, and then make sure that the boundary we've chosen isn't</t>
  </si>
  <si>
    <t>True: complexity 12; the multipart handling would read better split up.</t>
  </si>
  <si>
    <t>topics.py</t>
  </si>
  <si>
    <t>Y014</t>
  </si>
  <si>
    <t>Line is 107 characters (limit 100)</t>
  </si>
  <si>
    <t>11657  +----------------------------------------------------+----------------------------------------------------+
11658  | method.__self__                                    | Refers to the class instance object to which the   |
11659  |                                                    | method is bound                                    |
11660  +----------------------------------------------------+----------------------------------------------------+
11661  | method.__func__                                    | Refers to the original function object             |</t>
  </si>
  <si>
    <t>Generated documentation table; line length does not apply.</t>
  </si>
  <si>
    <t>12065  | type.__module__                                    | The name of the module in which the class was      |
12066  |                                                    | defined.                                           |
12067  +----------------------------------------------------+----------------------------------------------------+
12068  | type.__dict__                                      | A "mapping proxy" providing a read-only view of    |
12069  |                                                    | the class’s namespace. See also: "__dict__         |</t>
  </si>
  <si>
    <t>12067  +----------------------------------------------------+----------------------------------------------------+
12068  | type.__dict__                                      | A "mapping proxy" providing a read-only view of    |
12069  |                                                    | the class’s namespace. See also: "__dict__         |
12070  |                                                    | attributes".                                       |
12071  +----------------------------------------------------+----------------------------------------------------+</t>
  </si>
  <si>
    <t>12251  +----------------------------------------------------+----------------------------------------------------+
12252  | codeobject.co_kwonlyargcount                       | The number of keyword-only *parameters* (including |
12253  |                                                    | arguments with default values) that the function   |
12254  |                                                    | has                                                |
12255  +----------------------------------------------------+----------------------------------------------------+</t>
  </si>
  <si>
    <t>12286  +----------------------------------------------------+----------------------------------------------------+
12287  | codeobject.co_lnotab                               | A string encoding the mapping from *bytecode*      |
12288  |                                                    | offsets to line numbers. For details, see the      |
12289  |                                                    | source code of the interpreter.  Deprecated since  |
12290  |                                                    | version 3.12: This attribute of code objects is    |</t>
  </si>
  <si>
    <t>scrolledtext.py</t>
  </si>
  <si>
    <t>Public function 'example' has no docstring</t>
  </si>
  <si>
    <t xml:space="preserve">  43  
  44  
  45  def example():
  46      from tkinter.constants import END
  47  </t>
  </si>
  <si>
    <t>True: public function with no docstring (a demo, so low impact).</t>
  </si>
  <si>
    <t>xmlbuilder.py</t>
  </si>
  <si>
    <t>'filter' shadows a builtin</t>
  </si>
  <si>
    <t xml:space="preserve">  39  
  40      errorHandler = None
  41      filter = None
  42  
  43  </t>
  </si>
  <si>
    <t>'filter' is an attribute name fixed by the DOM Level 3 spec, not a shadowed builtin.</t>
  </si>
  <si>
    <t>unix_console.py</t>
  </si>
  <si>
    <t>'py' is assigned but never used in 'refresh'</t>
  </si>
  <si>
    <t xml:space="preserve"> 272              self.__move = self.__move_tall
 273  
 274          px, py = self.posxy
 275          old_offset = offset = self.__offset
 276          height = self.height</t>
  </si>
  <si>
    <t>Tuple unpacking: the call returns several values and the unused one has to be named. Not a bug.</t>
  </si>
  <si>
    <t>'consumed' is assigned but never used in 'write'</t>
  </si>
  <si>
    <t xml:space="preserve"> 378          """ Writes the object's contents encoded to self.stream.
 379          """
 380          data, consumed = self.encode(object, self.errors)
 381          self.stream.write(data)
 382  </t>
  </si>
  <si>
    <t>'bytesencoded' is assigned but never used in 'readlines'</t>
  </si>
  <si>
    <t xml:space="preserve"> 831  
 832          data = self.reader.read()
 833          data, bytesencoded = self.encode(data, self.errors)
 834          return data.splitlines(keepends=True)
 835  </t>
  </si>
  <si>
    <t>'bytesencoded' is assigned but never used in '__next__'</t>
  </si>
  <si>
    <t xml:space="preserve"> 838          """ Return the next decoded line from the input stream."""
 839          data = next(self.reader)
 840          data, bytesencoded = self.encode(data, self.errors)
 841          return data
 842  </t>
  </si>
  <si>
    <t>colorsys.py</t>
  </si>
  <si>
    <t xml:space="preserve"> 144  
 145  def hsv_to_rgb(h, s, v):
 146      if s == 0.0:
 147          return v, v, v
 148      i = int(h*6.0) # XXX assume int() truncates!</t>
  </si>
  <si>
    <t>Exact zero is the intended special case (no saturation), not a computed float. Comparing with == 0.0 is correct here.</t>
  </si>
  <si>
    <t>cookiejar.py</t>
  </si>
  <si>
    <t>B011</t>
  </si>
  <si>
    <t>'self' is modified while being iterated over</t>
  </si>
  <si>
    <t>1748              for cookie in self:
1749                  if cookie.is_expired(now):
1750                      self.clear(cookie.domain, cookie.path, cookie.name)
1751          finally:
1752              self._cookies_lock.release()</t>
  </si>
  <si>
    <t>The jar's iterator walks list(mapping.values()), a copy, so clearing cookies during the loop is safe.</t>
  </si>
  <si>
    <t>__init__.py</t>
  </si>
  <si>
    <t>'_read_files_egginfo_installed' sometimes returns a value and sometimes returns None</t>
  </si>
  <si>
    <t xml:space="preserve"> 563          subdir = getattr(self, '_path', None)
 564          if not text or not subdir:
 565              return
 566  
 567          paths = (</t>
  </si>
  <si>
    <t>True: mixes bare 'return' with 'return map(...)'. PEP 8 asks for an explicit 'return None'. A style point, not a bug as labelled.</t>
  </si>
  <si>
    <t>'sep' is assigned but never used in '_name_from_stem'</t>
  </si>
  <si>
    <t xml:space="preserve"> 948          if ext not in ('.dist-info', '.egg-info'):
 949              return
 950          name, sep, rest = filename.partition('-')
 951          return name
 952  </t>
  </si>
  <si>
    <t>socketserver.py</t>
  </si>
  <si>
    <t xml:space="preserve"> 320                  self.handle_error(request, client_address)
 321                  self.shutdown_request(request)
 322              except:
 323                  self.shutdown_request(request)
 324                  raise</t>
  </si>
  <si>
    <t>Bare except that cleans up and re-raises. Catching everything is deliberate and correct.</t>
  </si>
  <si>
    <t>tokenize.py</t>
  </si>
  <si>
    <t>'char' is assigned but never used in 'escape_brackets'</t>
  </si>
  <si>
    <t xml:space="preserve"> 211              if character == "{":
 212                  n_backslashes = sum(
 213                      1 for char in _itertools.takewhile(
 214                          "\\".__eq__,
 215                          characters[-2::-1]</t>
  </si>
  <si>
    <t>Counting idiom: sum(1 for char in ...). The loop variable is never meant to be used.</t>
  </si>
  <si>
    <t>'a21' is assigned but never used in 'shapetransform'</t>
  </si>
  <si>
    <t>3016          alfa = math.atan2(-m21, m11) % math.tau
3017          sa, ca = math.sin(alfa), math.cos(alfa)
3018          a11, a12, a21, a22 = (ca*m11 - sa*m21, ca*m12 - sa*m22,
3019                                sa*m11 + ca*m21, sa*m12 + ca*m22)
3020          self._stretchfactor = a11, a22</t>
  </si>
  <si>
    <t>a21 is computed (sa*m11 + ca*m21) and never used: dead arithmetic. Low impact.</t>
  </si>
  <si>
    <t>'x' is assigned but never used in 'write'</t>
  </si>
  <si>
    <t>3501          end = self._write(str(arg), align.lower(), font)
3502          if move:
3503              x, y = self.pos()
3504              self.setpos(end, y)
3505          if self.undobuffer:</t>
  </si>
  <si>
    <t>handlers.py</t>
  </si>
  <si>
    <t>'y' is assigned but never used in 'format_date_time'</t>
  </si>
  <si>
    <t xml:space="preserve">  18  
  19  def format_date_time(timestamp):
  20      year, month, day, hh, mm, ss, wd, y, z = time.gmtime(timestamp)
  21      return "%s, %02d %3s %4d %02d:%02d:%02d GMT" % (
  22          _weekdayname[wd], day, _monthname[month], year, hh, mm, ss</t>
  </si>
  <si>
    <t>_header_value_parser.py</t>
  </si>
  <si>
    <t>1040      escape = False
1041      had_qp = False
1042      for pos in range(len(fragment)):
1043          if fragment[pos] == '\\':
1044              if escape:</t>
  </si>
  <si>
    <t>True: enumerate(fragment) works here, pos is still set for the for-else. Minor readability gain.</t>
  </si>
  <si>
    <t>1043      pkg_to_dist = collections.defaultdict(list)
1044      for dist in distributions():
1045          for pkg in _top_level_declared(dist) or _top_level_inferred(dist):
1046              pkg_to_dist[pkg].append(dist.metadata['Name'])
1047      return dict(pkg_to_dist)</t>
  </si>
  <si>
    <t>Appends into a defaultdict keyed per package. It cannot become a list comprehension.</t>
  </si>
  <si>
    <t>config.py</t>
  </si>
  <si>
    <t>O008</t>
  </si>
  <si>
    <t>'section' is looked up twice (membership then index)</t>
  </si>
  <si>
    <t xml:space="preserve"> 256                  i += 1
 257              existing.remove(qn)
 258          if "level" in section:
 259              level = section["level"]
 260              logger.setLevel(level)</t>
  </si>
  <si>
    <t>True, but 'in' then index is the clearest idiom here, runs once at load time, and .get() would merge 'missing' with 'set to None'. No real gain.</t>
  </si>
  <si>
    <t>'config' is looked up twice (membership then index)</t>
  </si>
  <si>
    <t xml:space="preserve"> 689      def configure_formatter(self, config):
 690          """Configure a formatter from a dictionary."""
 691          if '()' in config:
 692              factory = config['()'] # for use in exception handler
 693              try:</t>
  </si>
  <si>
    <t xml:space="preserve"> 724              # A TypeError would be raised if "validate" key is passed in with a formatter callable
 725              # that does not accept "validate" as a parameter
 726              if 'validate' in config:  # if user hasn't mentioned it, the default will be fine
 727                  result = c(fmt, dfmt, style, config['validate'], **kwargs)
 728              else:</t>
  </si>
  <si>
    <t>spawn.py</t>
  </si>
  <si>
    <t>'data' is looked up twice (membership then index)</t>
  </si>
  <si>
    <t xml:space="preserve"> 217          process.current_process().name = data['name']
 218  
 219      if 'authkey' in data:
 220          process.current_process().authkey = data['authkey']
 221  </t>
  </si>
  <si>
    <t>O007</t>
  </si>
  <si>
    <t>Membership test against a list/tuple literal</t>
  </si>
  <si>
    <t xml:space="preserve"> 179          key = key.strip()
 180          value = value.strip()
 181          if value in ["True", "False", "None", "''", '""']:
 182              value = eval(value)
 183          else:</t>
  </si>
  <si>
    <t>True and safe: a set literal is a constant lookup. Minor, load-time code.</t>
  </si>
  <si>
    <t>'p' is looked up twice (membership then index)</t>
  </si>
  <si>
    <t>2454              if self._drawing != p["pendown"]:
2455                  newLine = True
2456          if "pencolor" in p:
2457              if isinstance(p["pencolor"], tuple):
2458                  p["pencolor"] = self._colorstr((p["pencolor"],))</t>
  </si>
  <si>
    <t>2466          if "pendown" in p:
2467              self._drawing = p["pendown"]
2468          if "pencolor" in p:
2469              self._pencolor = p["pencolor"]
2470          if "pensize" in p:</t>
  </si>
  <si>
    <t>2476          if "speed" in p:
2477              self._speed = p["speed"]
2478          if "resizemode" in p:
2479              self._resizemode = p["resizemode"]
2480          if "stretchfactor" in p:</t>
  </si>
  <si>
    <t>2489          if "shown" in p:
2490              self._shown = p["shown"]
2491          if "tilt" in p:
2492              self._tilt = p["tilt"]
2493          if "stretchfactor" in p or "tilt" in p or "shearfactor" in p:</t>
  </si>
  <si>
    <t>assert used for validation is removed when Python runs with -O</t>
  </si>
  <si>
    <t xml:space="preserve"> 782  
 783      def __move_tall(self, x, y):
 784          assert 0 &lt;= y - self.__offset &lt; self.height, y - self.__offset
 785          self.__write_code(self._cup, y - self.__offset, x)
 786  </t>
  </si>
  <si>
    <t>Checks an internal invariant, which is what assert is for, not validation of outside input.</t>
  </si>
  <si>
    <t>proactor_events.py</t>
  </si>
  <si>
    <t xml:space="preserve"> 512                  return
 513  
 514              assert fut is self._write_fut
 515              self._write_fut = None
 516              if fut:</t>
  </si>
  <si>
    <t>base64.py</t>
  </si>
  <si>
    <t xml:space="preserve">  84      if altchars is not None:
  85          altchars = _bytes_from_decode_data(altchars)
  86          assert len(altchars) == 2, repr(altchars)
  87          s = s.translate(bytes.maketrans(altchars, b'+/'))
  88      return binascii.a2b_base64(s, strict_mode=validate)</t>
  </si>
  <si>
    <t>Real: altchars is a caller argument. Under python -O a wrong-length value is no longer rejected.</t>
  </si>
  <si>
    <t>glob.py</t>
  </si>
  <si>
    <t xml:space="preserve"> 169  
 170  def _glob2(dirname, pattern, dir_fd, dironly, include_hidden=False):
 171      assert _isrecursive(pattern)
 172      if not dirname or _isdir(dirname, dir_fd):
 173          yield pattern[:0]</t>
  </si>
  <si>
    <t>Checks an internal invariant, which is what assert is for, not validation of outside input. Private helper, the caller guarantees the pattern.</t>
  </si>
  <si>
    <t xml:space="preserve"> 957          _debug(" - checking cookie %s=%s", cookie.name, cookie.value)
 958  
 959          assert cookie.name is not None
 960  
 961          for n in "version", "verifiability", "name", "path", "domain", "port":</t>
  </si>
  <si>
    <t>S001</t>
  </si>
  <si>
    <t>eval() executes arbitrary code</t>
  </si>
  <si>
    <t xml:space="preserve"> 157              klass = _resolve(klass)
 158          args = section.get("args", '()')
 159          args = eval(args, vars(logging))
 160          kwargs = section.get("kwargs", '{}')
 161          kwargs = eval(kwargs, vars(logging))</t>
  </si>
  <si>
    <t>Real: eval() on text from a logging config file. The docs warn about this; only safe if the file is trusted.</t>
  </si>
  <si>
    <t xml:space="preserve"> 159          args = eval(args, vars(logging))
 160          kwargs = section.get("kwargs", '{}')
 161          kwargs = eval(kwargs, vars(logging))
 162          h = klass(*args, **kwargs)
 163          h.name = hand</t>
  </si>
  <si>
    <t>Same as the row above: eval() on config text.</t>
  </si>
  <si>
    <t>mailbox.py</t>
  </si>
  <si>
    <t xml:space="preserve"> 715          # already have been generated (and presumably has been modified
 716          # by adding or deleting an item).
 717          assert self._toc is not None
 718  
 719          # Check length of self._file; if it's changed, some other process</t>
  </si>
  <si>
    <t>connection.py</t>
  </si>
  <si>
    <t xml:space="preserve"> 609          overlapped = _winapi.ConnectNamedPipe(h1, overlapped=True)
 610          _, err = overlapped.GetOverlappedResult(True)
 611          assert err == 0
 612  
 613          c1 = PipeConnection(h1, writable=duplex)</t>
  </si>
  <si>
    <t>Checks an internal invariant, which is what assert is for, not validation of outside input. The OS call already raises on failure.</t>
  </si>
  <si>
    <t xml:space="preserve"> 956          raise ValueError(
 957              "Authkey must be bytes, not {0!s}".format(type(authkey)))
 958      assert MESSAGE_LENGTH &gt; _MD5ONLY_MESSAGE_LENGTH, "protocol constraint"
 959      message = os.urandom(MESSAGE_LENGTH)
 960      message = b'{%s}%s' % (digest_name.encode('ascii'), message)</t>
  </si>
  <si>
    <t>Asserts a module constant, a design-time check.</t>
  </si>
  <si>
    <t>resource_sharer.py</t>
  </si>
  <si>
    <t xml:space="preserve"> 122      def _start(self):
 123          from .connection import Listener
 124          assert self._listener is None, "Already have Listener"
 125          util.debug('starting listener and thread for sending handles')
 126          self._listener = Listener(authkey=process.current_process().authkey, backlog=128)</t>
  </si>
  <si>
    <t>_common.py</t>
  </si>
  <si>
    <t xml:space="preserve"> 121  
 122          c = fobj.read(1)  # Should be \n
 123          assert c == b"\n", c
 124  
 125          line = fobj.readline()</t>
  </si>
  <si>
    <t>Checks bytes read from a data file. Under python -O a malformed file would pass silently.</t>
  </si>
  <si>
    <t>_sysconfigdata__linux_x86_64-linux-gnu.py</t>
  </si>
  <si>
    <t>Line is 102 characters (limit 100)</t>
  </si>
  <si>
    <t xml:space="preserve">  33      'CFLAGS_ALIASING': '',
  34      'CFLAGS_NODIST': '',
  35      'CODECS_COMMON_HEADERS': '../Modules/cjkcodecs/multibytecodec.h ../Modules/cjkcodecs/cjkcodecs.h',
  36      'COMPILEALL_OPTS': '-j0',
  37      'CONFIGFILES': 'configure configure.ac acconfig.h pyconfig.h.in Makefile.pre.in',</t>
  </si>
  <si>
    <t>Generated build-config file. Line length does not apply.</t>
  </si>
  <si>
    <t>Line is 564 characters (limit 100)</t>
  </si>
  <si>
    <t xml:space="preserve"> 945      'PY_CFLAGS_NODIST': '-std=c11 -Wextra -Wno-unused-parameter -Wno-missing-field-initializers -Wstrict-prototypes -Werror=implicit-function-declaration -fvisibility=hidden  -I../Include/internal -I../Include/internal/mimalloc',
 946      'PY_COERCE_C_LOCALE': 1,
 947      'PY_CORE_CFLAGS': '-fno-strict-overflow -Wsign-compare -DNDEBUG -g -O2 -Wall -g -fno-omit-frame-pointer -mno-omit-leaf-frame-pointer     -fstack-protector-strong -fstack-clash-protection -Wformat -Werror=format-security -fcf-protection   -g -fwrapv -O2    -std=c11 -Wextra -Wno-unused-parameter -Wno-missing-field-initializers -Wstrict-prototypes -Werror=implicit-function-declaration -fvisibility=hidden  -I../Include/internal -I../Include/internal/mimalloc -IObjects -IInclude -IPython -I. -I../Include -Wdate-time -D_FORTIFY_SOURCE=3 -fPIC -DPy_BUILD_CORE',
 948      'PY_CORE_LDFLAGS': '-Wl,-Bsymbolic-functions     -g -fwrapv -O2   ',
 949      'PY_CPPFLAGS': '-IObjects -IInclude -IPython -I. -I../Include -Wdate-time -D_FORTIFY_SOURCE=3',</t>
  </si>
  <si>
    <t>events.py</t>
  </si>
  <si>
    <t>'start_tls' takes 7 parameters (limit 5)</t>
  </si>
  <si>
    <t xml:space="preserve"> 397          raise NotImplementedError
 398  
 399      async def start_tls(self, transport, protocol, sslcontext, *,
 400                          server_side=False,
 401                          server_hostname=None,</t>
  </si>
  <si>
    <t>Public asyncio API. The parameters cannot change without breaking callers.</t>
  </si>
  <si>
    <t>'_start_serving' takes 7 parameters (limit 5)</t>
  </si>
  <si>
    <t xml:space="preserve"> 830                               exc_info=True)
 831  
 832      def _start_serving(self, protocol_factory, sock,
 833                         sslcontext=None, server=None, backlog=100,
 834                         ssl_handshake_timeout=None,</t>
  </si>
  <si>
    <t>Mirrors the signature of the method it implements. Reducing parameters is not an option.</t>
  </si>
  <si>
    <t>selector_events.py</t>
  </si>
  <si>
    <t>'sendto' has cyclomatic complexity 13 (limit 10)</t>
  </si>
  <si>
    <t>1257              self._protocol.datagram_received(data, addr)
1258  
1259      def sendto(self, data, addr=None):
1260          if not isinstance(data, (bytes, bytearray, memoryview)):
1261              raise TypeError(f'data argument must be a bytes-like object, '</t>
  </si>
  <si>
    <t>True: 13 branches of argument and state checks. Splitting the checks would read better.</t>
  </si>
  <si>
    <t>functools.py</t>
  </si>
  <si>
    <t>'_make_key' takes 8 parameters (limit 5)</t>
  </si>
  <si>
    <t xml:space="preserve"> 471          return self.hashvalue
 472  
 473  def _make_key(args, kwds, typed,
 474               kwd_mark = (object(),),
 475               fasttypes = {int, str},</t>
  </si>
  <si>
    <t>Deliberate: the defaults bind fast local lookups for lru_cache. Documented performance trick.</t>
  </si>
  <si>
    <t>'translate' has cyclomatic complexity 16 (limit 10)</t>
  </si>
  <si>
    <t xml:space="preserve"> 292  
 293  
 294  def translate(pat, *, recursive=False, include_hidden=False, seps=None):
 295      """Translate a pathname with shell wildcards to a regular expression.
 296  </t>
  </si>
  <si>
    <t>True: complexity 16, a long translation function that would benefit from helpers.</t>
  </si>
  <si>
    <t>lzma.py</t>
  </si>
  <si>
    <t>Y013</t>
  </si>
  <si>
    <t>'_encode_filter_properties' is imported but never used</t>
  </si>
  <si>
    <t xml:space="preserve">  26  import os
  27  from _lzma import *
  28  from _lzma import _encode_filter_properties, _decode_filter_properties
  29  import _compression
  30  </t>
  </si>
  <si>
    <t>Re-export: zipfile imports lzma._encode_filter_properties. Removing it would break zipfile.</t>
  </si>
  <si>
    <t>dbapi2.py</t>
  </si>
  <si>
    <t>Y009</t>
  </si>
  <si>
    <t>Wildcard import from '_sqlite3'</t>
  </si>
  <si>
    <t xml:space="preserve">  25  import collections.abc
  26  
  27  from _sqlite3 import *
  28  from _sqlite3 import _deprecated_version
  29  </t>
  </si>
  <si>
    <t>Intentional re-export of the C module's API. PEP 8 allows wildcard imports for this.</t>
  </si>
  <si>
    <t>Y003</t>
  </si>
  <si>
    <t>Function name '_newLine' is not snake_case</t>
  </si>
  <si>
    <t>3352          self._update()
3353  
3354      def _newLine(self, usePos=True):
3355          """Closes current line item and starts a new one.
3356             Remark: if current line became too long, animation</t>
  </si>
  <si>
    <t>turtle uses camelCase throughout. PEP 8 puts consistency within a module first.</t>
  </si>
  <si>
    <t>Y020</t>
  </si>
  <si>
    <t>XXX comment left in the code</t>
  </si>
  <si>
    <t xml:space="preserve"> 388              self.result = self.error_output(self.environ, self.start_response)
 389              self.finish_response()
 390          # XXX else: attempt advanced recovery techniques for HTML or text?
 391  
 392      def error_output(self, environ, start_response):</t>
  </si>
  <si>
    <t>True: an XXX note left in the code.</t>
  </si>
  <si>
    <t>simple_server.py</t>
  </si>
  <si>
    <t>Y017</t>
  </si>
  <si>
    <t>More than two consecutive blank lines</t>
  </si>
  <si>
    <t xml:space="preserve">  39  
  40  
  41  
  42  class WSGIServer(HTTPServer):
  43  </t>
  </si>
  <si>
    <t>True: three blank lines where PEP 8 allows two.</t>
  </si>
  <si>
    <t>pulldom.py</t>
  </si>
  <si>
    <t>Function name 'endDocument' is not snake_case</t>
  </si>
  <si>
    <t xml:space="preserve"> 186          return node.firstChild
 187  
 188      def endDocument(self):
 189          self.lastEvent[1] = [(END_DOCUMENT, self.document), None]
 190          self.pop()</t>
  </si>
  <si>
    <t>SAX handler method: the name is fixed by the xml.sax interface.</t>
  </si>
  <si>
    <t>explanation</t>
  </si>
  <si>
    <t>fix</t>
  </si>
  <si>
    <t>usefulness_1_to_5</t>
  </si>
  <si>
    <t>comprehension_in_sum.py</t>
  </si>
  <si>
    <t>O006</t>
  </si>
  <si>
    <t>sum() given a list comprehension</t>
  </si>
  <si>
    <t>The use of a list comprehension inside the sum function can be optimized by using the built-in `sum` function directly with a generator expression, which avoids creating an intermediate list.</t>
  </si>
  <si>
    <t>return sum(v for v in values if v &gt; 0)</t>
  </si>
  <si>
    <t>Correct and the fix is exact code. The gain is memory, not speed: in CPython a list comprehension inside sum() is often slightly faster.</t>
  </si>
  <si>
    <t>range_len.py</t>
  </si>
  <si>
    <t>Using `enumerate(items)` directly makes the code more readable and efficient by eliminating the need to call `len(items)` multiple times.</t>
  </si>
  <si>
    <t>for i, item in enumerate(items):</t>
  </si>
  <si>
    <t>Fix is right but incomplete (the body still uses items[i]), and the reason is wrong: len(items) is called once, not 'multiple times'.</t>
  </si>
  <si>
    <t>redundant_keys.py</t>
  </si>
  <si>
    <t>The method `mapping.keys()` returns a view object that displays a list of all the keys in the dictionary. Iterating over this view directly is more efficient than calling `.keys()` and then iterating over the result.</t>
  </si>
  <si>
    <t>for key in mapping:</t>
  </si>
  <si>
    <t>Fix is right; the explanation is muddled (.keys() does not return a list) and the speed claim is negligible. The real point is readability.</t>
  </si>
  <si>
    <t>Checking membership against a list can be optimized by using a set, which provides faster lookup times.</t>
  </si>
  <si>
    <t>return day.lower() in {'sat', 'sun', 'saturday', 'sunday'}</t>
  </si>
  <si>
    <t>Correct, specific, and the fix is ready to paste.</t>
  </si>
  <si>
    <t>string_concat_loop.py</t>
  </si>
  <si>
    <t>O003</t>
  </si>
  <si>
    <t>String 'out' is built by repeated concatenation</t>
  </si>
  <si>
    <t>Building strings by repeated concatenation can lead to performance issues because strings in Python are immutable. This operation creates a new string object every time, which can be inefficient.</t>
  </si>
  <si>
    <t>Use `str.join()` instead of repeated concatenation.</t>
  </si>
  <si>
    <t>Correct but generic, with no code. Should be: return ''.join(f'{row}\n' for row in rows).</t>
  </si>
  <si>
    <t>assert_tuple.py</t>
  </si>
  <si>
    <t>B010</t>
  </si>
  <si>
    <t>assert on a tuple literal is always true</t>
  </si>
  <si>
    <t>The assertion checks if the length of 'items' is greater than 0, which will always evaluate to a boolean value. This assertion is redundant because it's impossible for the condition to ever be false.</t>
  </si>
  <si>
    <t>Remove the assertion since it doesn't serve any purpose.</t>
  </si>
  <si>
    <t>Wrong reason and a harmful fix. The bug is that assert (cond, msg) tests a non-empty tuple, so it never fails; removing it loses the check. Correct: assert len(items) &gt; 0, 'items must not be empty'.</t>
  </si>
  <si>
    <t>complex_function.py</t>
  </si>
  <si>
    <t>'grade' takes 6 parameters (limit 5)</t>
  </si>
  <si>
    <t>The 'grade' function takes six parameters, which exceeds the recommended limit of five.</t>
  </si>
  <si>
    <t>Consider removing one parameter or refactoring the function to use a dictionary or class to pass multiple values.</t>
  </si>
  <si>
    <t>Restates the rule; the advice is generic but points in the right direction (group the flags).</t>
  </si>
  <si>
    <t>duplicate_dict_key.py</t>
  </si>
  <si>
    <t>B009</t>
  </si>
  <si>
    <t>Duplicate key 'retries' in dict literal</t>
  </si>
  <si>
    <t>The dictionary contains duplicate keys ('retries'), which will cause the last value to overwrite previous values.</t>
  </si>
  <si>
    <t>Remove the duplicate 'retries' key on line 6.</t>
  </si>
  <si>
    <t>Correct and concrete, but removing line 6 keeps retries=3 while the code currently uses 5; it should say which value was meant.</t>
  </si>
  <si>
    <t>early_return_search.py</t>
  </si>
  <si>
    <t>LLM001</t>
  </si>
  <si>
    <t>The 'return None' statement is inside the loop, causing the function to return after checking only the first user.</t>
  </si>
  <si>
    <t>The current implementation returns None immediately after checking the first user, which means it will never check other users even if they match the user_id.</t>
  </si>
  <si>
    <t>Move the 'return None' statement outside the loop so that it executes only if no matching user is found after iterating through all users.</t>
  </si>
  <si>
    <t>Correct diagnosis and the right fix, reasoned from the code.</t>
  </si>
  <si>
    <t>empty_average.py</t>
  </si>
  <si>
    <t>Division by zero if 'values' is empty.</t>
  </si>
  <si>
    <t>The function attempts to divide by the length of 'values', which will be zero if 'values' is empty, leading to a division by zero error.</t>
  </si>
  <si>
    <t>return sum(values) / max(len(values), 1)</t>
  </si>
  <si>
    <t>Correct and matches the docstring. Returns int 0 rather than 0.0; 'if not values: return 0.0' is clearer.</t>
  </si>
  <si>
    <t>float_equality.py</t>
  </si>
  <si>
    <t>Comparing a floating-point number directly to another floating-point number using '==' can lead to unexpected results due to precision issues.</t>
  </si>
  <si>
    <t>Use a tolerance value when comparing floats.</t>
  </si>
  <si>
    <t>Correct but generic: no tolerance or code given. math.isclose(amount, 0.0, abs_tol=1e-9), or Decimal for money, would be the useful fix.</t>
  </si>
  <si>
    <t>hardcoded_secret.py</t>
  </si>
  <si>
    <t>S012</t>
  </si>
  <si>
    <t>Hardcoded credential in 'API_KEY'</t>
  </si>
  <si>
    <t>The API key is hardcoded into the source code, which can lead to security vulnerabilities if the code is shared or exposed.</t>
  </si>
  <si>
    <t>Remove the hard-coded API key and use environment variables or configuration files instead.</t>
  </si>
  <si>
    <t>Correct, standard advice. Generic, but it is the right fix.</t>
  </si>
  <si>
    <t>S009</t>
  </si>
  <si>
    <t>md5 is not safe for passwords or signatures</t>
  </si>
  <si>
    <t>MD5 is considered cryptographically broken and unsuitable for further use, especially for security-critical applications like hashing passwords.</t>
  </si>
  <si>
    <t>Replace MD5 with a stronger hash function such as SHA-256.</t>
  </si>
  <si>
    <t>It even says 'hashing passwords', yet recommends SHA-256, which is also wrong for passwords. Should name hashlib.scrypt, bcrypt or argon2.</t>
  </si>
  <si>
    <t>inconsistent_return.py</t>
  </si>
  <si>
    <t>'parse_port' sometimes returns a value and sometimes returns None</t>
  </si>
  <si>
    <t>The function 'parse_port' can either return an integer or None depending on the input. This inconsistency can lead to bugs when calling the function without checking the return value.</t>
  </si>
  <si>
    <t>Add a default return value to ensure the function always returns an integer.</t>
  </si>
  <si>
    <t>Explained well, but the fix is doubtful: a default port hides bad input. Return None explicitly with Optional[int], or raise ValueError.</t>
  </si>
  <si>
    <t>missing_increment.py</t>
  </si>
  <si>
    <t>The loop condition should include the limit.</t>
  </si>
  <si>
    <t>The current implementation excludes the limit value from the result. It should include the limit value by changing the condition to 'i &lt;= limit'.</t>
  </si>
  <si>
    <t>Change `while i &lt; limit:` to `while i &lt;= limit:`</t>
  </si>
  <si>
    <t>Wrong diagnosis. The real bug is that i is never incremented, so the loop never ends. Changing &lt; to &lt;= contradicts the docstring.</t>
  </si>
  <si>
    <t>mutable_default.py</t>
  </si>
  <si>
    <t>Mutable default argument in 'add_item'</t>
  </si>
  <si>
    <t>The function `add_item` uses a mutable default argument (`basket=[]`). This means that if the function is called multiple times without providing a `basket`, the same list will be used across all calls, leading to unexpected behavior.</t>
  </si>
  <si>
    <t>Change the default argument to `None` and initialize the list inside the function.</t>
  </si>
  <si>
    <t>Correct, specific, standard fix.</t>
  </si>
  <si>
    <t>Mutable default argument in 'add_tag'</t>
  </si>
  <si>
    <t>The function `add_tag` uses a mutable default argument (`tags={}`). Similar to `add_item`, this can lead to unintended side effects if the function is called multiple times without providing a `tags` dictionary.</t>
  </si>
  <si>
    <t>Change the default argument to `None` and initialize the dictionary inside the function.</t>
  </si>
  <si>
    <t>mutation_while_iterating.py</t>
  </si>
  <si>
    <t>'values' is modified while being iterated over</t>
  </si>
  <si>
    <t>The 'values' list is being modified while iterating over it, which can lead to unexpected behavior.</t>
  </si>
  <si>
    <t>Use a list comprehension to create a new list without negative values.</t>
  </si>
  <si>
    <t>Correct; the fix is the right direction but gives no code.</t>
  </si>
  <si>
    <t>none_comparison.py</t>
  </si>
  <si>
    <t>B006</t>
  </si>
  <si>
    <t>Comparing to None with == instead of 'is'</t>
  </si>
  <si>
    <t>Using '==' to compare with None can lead to unexpected results because None is a singleton object.</t>
  </si>
  <si>
    <t>if value is None:</t>
  </si>
  <si>
    <t>Correct, and the fix is exact code.</t>
  </si>
  <si>
    <t>B007</t>
  </si>
  <si>
    <t>Comparing to True explicitly</t>
  </si>
  <si>
    <t>Explicitly comparing with True can lead to bugs if the flag variable is not always a boolean.</t>
  </si>
  <si>
    <t>return bool(flag)</t>
  </si>
  <si>
    <t>Reasonable, but bool(flag) changes behaviour for truthy non-bool values such as 'yes'. 'flag is True' keeps the strict meaning.</t>
  </si>
  <si>
    <t>case</t>
  </si>
  <si>
    <t>the bug</t>
  </si>
  <si>
    <t>model said</t>
  </si>
  <si>
    <t>confidence</t>
  </si>
  <si>
    <t>scored automatically</t>
  </si>
  <si>
    <t>checked by hand</t>
  </si>
  <si>
    <t>off_by_one_sum</t>
  </si>
  <si>
    <t>range(1, ...) skips the first price</t>
  </si>
  <si>
    <t>Off-by-one error in loop range.</t>
  </si>
  <si>
    <t>right</t>
  </si>
  <si>
    <t>Terse, but names the bug.</t>
  </si>
  <si>
    <t>wrong_boundary</t>
  </si>
  <si>
    <t>&gt; where &gt;= was meant</t>
  </si>
  <si>
    <t>missed</t>
  </si>
  <si>
    <t>Nothing reported.</t>
  </si>
  <si>
    <t>empty_average</t>
  </si>
  <si>
    <t>divides by zero on an empty list</t>
  </si>
  <si>
    <t>Names the empty-list division by zero.</t>
  </si>
  <si>
    <t>unclosed_file</t>
  </si>
  <si>
    <t>file handle is never closed</t>
  </si>
  <si>
    <t>sign_of_zero</t>
  </si>
  <si>
    <t>zero is treated as negative</t>
  </si>
  <si>
    <t>Nothing reported (found in earlier runs, when the label was visible).</t>
  </si>
  <si>
    <t>early_return_search</t>
  </si>
  <si>
    <t>gives up after the first user</t>
  </si>
  <si>
    <t>Correct, and the fix is right.</t>
  </si>
  <si>
    <t>swapped_transfer</t>
  </si>
  <si>
    <t>money moves the wrong way</t>
  </si>
  <si>
    <t>missing_increment</t>
  </si>
  <si>
    <t>i is never incremented</t>
  </si>
  <si>
    <t>The loop condition should include 'limit' to ensure all numbers up to 'limit' are included.</t>
  </si>
  <si>
    <t>wrong</t>
  </si>
  <si>
    <t>Wrong line (10) and wrong reason: suggests &lt;=, but the real bug is the missing i += 1.</t>
  </si>
  <si>
    <t>floor_division_share</t>
  </si>
  <si>
    <t>// drops the paise</t>
  </si>
  <si>
    <t>latest_zero</t>
  </si>
  <si>
    <t>n == 0 returns every post</t>
  </si>
  <si>
    <t xml:space="preserve">Final run: version 1.2.0 on Kaggle (2x T4), answer-key labels hidden from the model.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</si>
</sst>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9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sz val="9"/>
      <color rgb="FF555555"/>
      <name val="Arial"/>
      <charset val="1"/>
    </font>
    <font>
      <b/>
      <sz val="11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sz val="9"/>
      <name val="Arial"/>
      <charset val="1"/>
    </font>
    <font>
      <sz val="9"/>
      <name val="Courier New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EB9C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center" vertical="top" wrapText="1"/>
    </xf>
    <xf numFmtId="0" fontId="8" fillId="0" borderId="1" xfId="0" applyFont="1" applyBorder="1" applyAlignment="1">
      <alignment vertical="top" wrapText="1"/>
    </xf>
    <xf numFmtId="0" fontId="5" fillId="3" borderId="1" xfId="0" applyFont="1" applyFill="1" applyBorder="1" applyAlignment="1">
      <alignment horizontal="center" vertical="top" wrapText="1"/>
    </xf>
    <xf numFmtId="164" fontId="5" fillId="0" borderId="1" xfId="0" applyNumberFormat="1" applyFont="1" applyBorder="1" applyAlignment="1">
      <alignment horizontal="center" vertical="top" wrapText="1"/>
    </xf>
    <xf numFmtId="0" fontId="7" fillId="0" borderId="0" xfId="0" applyFont="1" applyBorder="1" applyAlignment="1">
      <alignment vertical="top" wrapText="1"/>
    </xf>
    <xf numFmtId="0" fontId="2" fillId="0" borderId="0" xfId="0" applyFont="1" applyBorder="1" applyAlignment="1">
      <alignment vertical="top" wrapText="1"/>
    </xf>
  </cellXfs>
  <cellStyles count="1">
    <cellStyle name="Normal" xfId="0" builtinId="0"/>
  </cellStyles>
  <dxfs count="17">
    <dxf>
      <fill>
        <patternFill>
          <bgColor rgb="FFE7E6E6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E7E6E6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63BE7B"/>
        </patternFill>
      </fill>
    </dxf>
    <dxf>
      <fill>
        <patternFill>
          <bgColor rgb="FFB1D580"/>
        </patternFill>
      </fill>
    </dxf>
    <dxf>
      <fill>
        <patternFill>
          <bgColor rgb="FFFFEB84"/>
        </patternFill>
      </fill>
    </dxf>
    <dxf>
      <fill>
        <patternFill>
          <bgColor rgb="FFFBAA77"/>
        </patternFill>
      </fill>
    </dxf>
    <dxf>
      <fill>
        <patternFill>
          <bgColor rgb="FFF8696B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EB84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1D580"/>
      <rgbColor rgb="FF808080"/>
      <rgbColor rgb="FF9999FF"/>
      <rgbColor rgb="FF993366"/>
      <rgbColor rgb="FFFFF2CC"/>
      <rgbColor rgb="FFE7E6E6"/>
      <rgbColor rgb="FF660066"/>
      <rgbColor rgb="FFF8696B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BAA77"/>
      <rgbColor rgb="FFCC99FF"/>
      <rgbColor rgb="FFFFC7CE"/>
      <rgbColor rgb="FF3366FF"/>
      <rgbColor rgb="FF63BE7B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2"/>
  <sheetViews>
    <sheetView showGridLines="0" tabSelected="1" topLeftCell="A40" zoomScaleNormal="100" workbookViewId="0">
      <selection activeCell="A2" sqref="A2:F2"/>
    </sheetView>
  </sheetViews>
  <sheetFormatPr defaultColWidth="8.6640625" defaultRowHeight="14.4" x14ac:dyDescent="0.3"/>
  <cols>
    <col min="1" max="1" width="40" customWidth="1"/>
    <col min="2" max="6" width="13" customWidth="1"/>
  </cols>
  <sheetData>
    <row r="1" spans="1:6" ht="17.399999999999999" x14ac:dyDescent="0.3">
      <c r="A1" s="1" t="s">
        <v>0</v>
      </c>
    </row>
    <row r="2" spans="1:6" ht="18" customHeight="1" x14ac:dyDescent="0.3">
      <c r="A2" s="19" t="s">
        <v>491</v>
      </c>
      <c r="B2" s="19"/>
      <c r="C2" s="19"/>
      <c r="D2" s="19"/>
      <c r="E2" s="19"/>
      <c r="F2" s="19"/>
    </row>
    <row r="4" spans="1:6" x14ac:dyDescent="0.3">
      <c r="A4" s="2" t="s">
        <v>1</v>
      </c>
    </row>
    <row r="5" spans="1:6" x14ac:dyDescent="0.3">
      <c r="A5" s="3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</row>
    <row r="6" spans="1:6" x14ac:dyDescent="0.3">
      <c r="A6" s="5" t="s">
        <v>8</v>
      </c>
      <c r="B6" s="6">
        <f>COUNTIF(Audit!$C$2:$C$51,"bug")</f>
        <v>12</v>
      </c>
      <c r="C6" s="6">
        <f>COUNTIFS(Audit!$C$2:$C$51,"bug",Audit!$H$2:$H$51,"real")</f>
        <v>3</v>
      </c>
      <c r="D6" s="6">
        <f>COUNTIFS(Audit!$C$2:$C$51,"bug",Audit!$H$2:$H$51,"false")</f>
        <v>0</v>
      </c>
      <c r="E6" s="6">
        <f>COUNTIFS(Audit!$C$2:$C$51,"bug",Audit!$H$2:$H$51,"unsure")</f>
        <v>0</v>
      </c>
      <c r="F6" s="7">
        <f t="shared" ref="F6:F11" si="0">IFERROR(C6/(C6+D6),"-")</f>
        <v>1</v>
      </c>
    </row>
    <row r="7" spans="1:6" x14ac:dyDescent="0.3">
      <c r="A7" s="5" t="s">
        <v>9</v>
      </c>
      <c r="B7" s="6">
        <f>COUNTIF(Audit!$C$2:$C$51,"security")</f>
        <v>12</v>
      </c>
      <c r="C7" s="6">
        <f>COUNTIFS(Audit!$C$2:$C$51,"security",Audit!$H$2:$H$51,"real")</f>
        <v>5</v>
      </c>
      <c r="D7" s="6">
        <f>COUNTIFS(Audit!$C$2:$C$51,"security",Audit!$H$2:$H$51,"false")</f>
        <v>0</v>
      </c>
      <c r="E7" s="6">
        <f>COUNTIFS(Audit!$C$2:$C$51,"security",Audit!$H$2:$H$51,"unsure")</f>
        <v>0</v>
      </c>
      <c r="F7" s="7">
        <f t="shared" si="0"/>
        <v>1</v>
      </c>
    </row>
    <row r="8" spans="1:6" x14ac:dyDescent="0.3">
      <c r="A8" s="5" t="s">
        <v>10</v>
      </c>
      <c r="B8" s="6">
        <f>COUNTIF(Audit!$C$2:$C$51,"style")</f>
        <v>13</v>
      </c>
      <c r="C8" s="6">
        <f>COUNTIFS(Audit!$C$2:$C$51,"style",Audit!$H$2:$H$51,"real")</f>
        <v>3</v>
      </c>
      <c r="D8" s="6">
        <f>COUNTIFS(Audit!$C$2:$C$51,"style",Audit!$H$2:$H$51,"false")</f>
        <v>0</v>
      </c>
      <c r="E8" s="6">
        <f>COUNTIFS(Audit!$C$2:$C$51,"style",Audit!$H$2:$H$51,"unsure")</f>
        <v>0</v>
      </c>
      <c r="F8" s="7">
        <f t="shared" si="0"/>
        <v>1</v>
      </c>
    </row>
    <row r="9" spans="1:6" x14ac:dyDescent="0.3">
      <c r="A9" s="5" t="s">
        <v>11</v>
      </c>
      <c r="B9" s="6">
        <f>COUNTIF(Audit!$C$2:$C$51,"optimization")</f>
        <v>13</v>
      </c>
      <c r="C9" s="6">
        <f>COUNTIFS(Audit!$C$2:$C$51,"optimization",Audit!$H$2:$H$51,"real")</f>
        <v>6</v>
      </c>
      <c r="D9" s="6">
        <f>COUNTIFS(Audit!$C$2:$C$51,"optimization",Audit!$H$2:$H$51,"false")</f>
        <v>0</v>
      </c>
      <c r="E9" s="6">
        <f>COUNTIFS(Audit!$C$2:$C$51,"optimization",Audit!$H$2:$H$51,"unsure")</f>
        <v>0</v>
      </c>
      <c r="F9" s="7">
        <f t="shared" si="0"/>
        <v>1</v>
      </c>
    </row>
    <row r="10" spans="1:6" x14ac:dyDescent="0.3">
      <c r="A10" s="8" t="s">
        <v>12</v>
      </c>
      <c r="B10" s="9">
        <f>SUM(B6:B9)</f>
        <v>50</v>
      </c>
      <c r="C10" s="9">
        <f>SUM(C6:C9)</f>
        <v>17</v>
      </c>
      <c r="D10" s="9">
        <f>SUM(D6:D9)</f>
        <v>0</v>
      </c>
      <c r="E10" s="9">
        <f>SUM(E6:E9)</f>
        <v>0</v>
      </c>
      <c r="F10" s="10">
        <f t="shared" si="0"/>
        <v>1</v>
      </c>
    </row>
    <row r="11" spans="1:6" x14ac:dyDescent="0.3">
      <c r="A11" s="5" t="s">
        <v>13</v>
      </c>
      <c r="B11" s="6">
        <f>COUNTA('Audit before fixes'!$H$2:$H$51)</f>
        <v>50</v>
      </c>
      <c r="C11" s="6">
        <f>COUNTIF('Audit before fixes'!$H$2:$H$51,"real")</f>
        <v>13</v>
      </c>
      <c r="D11" s="6">
        <f>COUNTIF('Audit before fixes'!$H$2:$H$51,"false")</f>
        <v>0</v>
      </c>
      <c r="E11" s="6">
        <f>COUNTIF('Audit before fixes'!$H$2:$H$51,"unsure")</f>
        <v>0</v>
      </c>
      <c r="F11" s="7">
        <f t="shared" si="0"/>
        <v>1</v>
      </c>
    </row>
    <row r="13" spans="1:6" x14ac:dyDescent="0.3">
      <c r="A13" s="2" t="s">
        <v>14</v>
      </c>
    </row>
    <row r="14" spans="1:6" x14ac:dyDescent="0.3">
      <c r="A14" s="3" t="s">
        <v>15</v>
      </c>
      <c r="B14" s="4" t="s">
        <v>3</v>
      </c>
      <c r="C14" s="4" t="s">
        <v>4</v>
      </c>
      <c r="D14" s="4" t="s">
        <v>5</v>
      </c>
      <c r="E14" s="4" t="s">
        <v>6</v>
      </c>
      <c r="F14" s="4" t="s">
        <v>7</v>
      </c>
    </row>
    <row r="15" spans="1:6" x14ac:dyDescent="0.3">
      <c r="A15" s="5" t="s">
        <v>16</v>
      </c>
      <c r="B15" s="6">
        <f>COUNTIF(Audit!$E$2:$E$51,"critical")</f>
        <v>4</v>
      </c>
      <c r="C15" s="6">
        <f>COUNTIFS(Audit!$E$2:$E$51,"critical",Audit!$H$2:$H$51,"real")</f>
        <v>1</v>
      </c>
      <c r="D15" s="6">
        <f>COUNTIFS(Audit!$E$2:$E$51,"critical",Audit!$H$2:$H$51,"false")</f>
        <v>0</v>
      </c>
      <c r="E15" s="6">
        <f>COUNTIFS(Audit!$E$2:$E$51,"critical",Audit!$H$2:$H$51,"unsure")</f>
        <v>0</v>
      </c>
      <c r="F15" s="7">
        <f>IFERROR(C15/(C15+D15),"-")</f>
        <v>1</v>
      </c>
    </row>
    <row r="16" spans="1:6" x14ac:dyDescent="0.3">
      <c r="A16" s="5" t="s">
        <v>17</v>
      </c>
      <c r="B16" s="6">
        <f>COUNTIF(Audit!$E$2:$E$51,"high")</f>
        <v>3</v>
      </c>
      <c r="C16" s="6">
        <f>COUNTIFS(Audit!$E$2:$E$51,"high",Audit!$H$2:$H$51,"real")</f>
        <v>0</v>
      </c>
      <c r="D16" s="6">
        <f>COUNTIFS(Audit!$E$2:$E$51,"high",Audit!$H$2:$H$51,"false")</f>
        <v>0</v>
      </c>
      <c r="E16" s="6">
        <f>COUNTIFS(Audit!$E$2:$E$51,"high",Audit!$H$2:$H$51,"unsure")</f>
        <v>0</v>
      </c>
      <c r="F16" s="7" t="str">
        <f>IFERROR(C16/(C16+D16),"-")</f>
        <v>-</v>
      </c>
    </row>
    <row r="17" spans="1:6" x14ac:dyDescent="0.3">
      <c r="A17" s="5" t="s">
        <v>18</v>
      </c>
      <c r="B17" s="6">
        <f>COUNTIF(Audit!$E$2:$E$51,"medium")</f>
        <v>14</v>
      </c>
      <c r="C17" s="6">
        <f>COUNTIFS(Audit!$E$2:$E$51,"medium",Audit!$H$2:$H$51,"real")</f>
        <v>4</v>
      </c>
      <c r="D17" s="6">
        <f>COUNTIFS(Audit!$E$2:$E$51,"medium",Audit!$H$2:$H$51,"false")</f>
        <v>0</v>
      </c>
      <c r="E17" s="6">
        <f>COUNTIFS(Audit!$E$2:$E$51,"medium",Audit!$H$2:$H$51,"unsure")</f>
        <v>0</v>
      </c>
      <c r="F17" s="7">
        <f>IFERROR(C17/(C17+D17),"-")</f>
        <v>1</v>
      </c>
    </row>
    <row r="18" spans="1:6" x14ac:dyDescent="0.3">
      <c r="A18" s="5" t="s">
        <v>19</v>
      </c>
      <c r="B18" s="6">
        <f>COUNTIF(Audit!$E$2:$E$51,"low")</f>
        <v>23</v>
      </c>
      <c r="C18" s="6">
        <f>COUNTIFS(Audit!$E$2:$E$51,"low",Audit!$H$2:$H$51,"real")</f>
        <v>7</v>
      </c>
      <c r="D18" s="6">
        <f>COUNTIFS(Audit!$E$2:$E$51,"low",Audit!$H$2:$H$51,"false")</f>
        <v>0</v>
      </c>
      <c r="E18" s="6">
        <f>COUNTIFS(Audit!$E$2:$E$51,"low",Audit!$H$2:$H$51,"unsure")</f>
        <v>0</v>
      </c>
      <c r="F18" s="7">
        <f>IFERROR(C18/(C18+D18),"-")</f>
        <v>1</v>
      </c>
    </row>
    <row r="19" spans="1:6" x14ac:dyDescent="0.3">
      <c r="A19" s="5" t="s">
        <v>20</v>
      </c>
      <c r="B19" s="6">
        <f>COUNTIF(Audit!$E$2:$E$51,"info")</f>
        <v>6</v>
      </c>
      <c r="C19" s="6">
        <f>COUNTIFS(Audit!$E$2:$E$51,"info",Audit!$H$2:$H$51,"real")</f>
        <v>5</v>
      </c>
      <c r="D19" s="6">
        <f>COUNTIFS(Audit!$E$2:$E$51,"info",Audit!$H$2:$H$51,"false")</f>
        <v>0</v>
      </c>
      <c r="E19" s="6">
        <f>COUNTIFS(Audit!$E$2:$E$51,"info",Audit!$H$2:$H$51,"unsure")</f>
        <v>0</v>
      </c>
      <c r="F19" s="7">
        <f>IFERROR(C19/(C19+D19),"-")</f>
        <v>1</v>
      </c>
    </row>
    <row r="21" spans="1:6" x14ac:dyDescent="0.3">
      <c r="A21" s="2" t="s">
        <v>21</v>
      </c>
    </row>
    <row r="22" spans="1:6" x14ac:dyDescent="0.3">
      <c r="A22" s="3" t="s">
        <v>22</v>
      </c>
      <c r="B22" s="4" t="s">
        <v>3</v>
      </c>
      <c r="C22" s="4" t="s">
        <v>4</v>
      </c>
      <c r="D22" s="4" t="s">
        <v>5</v>
      </c>
    </row>
    <row r="23" spans="1:6" x14ac:dyDescent="0.3">
      <c r="A23" s="5" t="s">
        <v>23</v>
      </c>
      <c r="B23" s="6">
        <f>COUNTIF(Audit!$D$2:$D$51,"B005")</f>
        <v>7</v>
      </c>
      <c r="C23" s="6">
        <f>COUNTIFS(Audit!$D$2:$D$51,"B005",Audit!$H$2:$H$51,"real")</f>
        <v>1</v>
      </c>
      <c r="D23" s="6">
        <f>COUNTIFS(Audit!$D$2:$D$51,"B005",Audit!$H$2:$H$51,"false")</f>
        <v>0</v>
      </c>
    </row>
    <row r="24" spans="1:6" x14ac:dyDescent="0.3">
      <c r="A24" s="5" t="s">
        <v>24</v>
      </c>
      <c r="B24" s="6">
        <f>COUNTIF(Audit!$D$2:$D$51,"S002")</f>
        <v>4</v>
      </c>
      <c r="C24" s="6">
        <f>COUNTIFS(Audit!$D$2:$D$51,"S002",Audit!$H$2:$H$51,"real")</f>
        <v>1</v>
      </c>
      <c r="D24" s="6">
        <f>COUNTIFS(Audit!$D$2:$D$51,"S002",Audit!$H$2:$H$51,"false")</f>
        <v>0</v>
      </c>
    </row>
    <row r="25" spans="1:6" x14ac:dyDescent="0.3">
      <c r="A25" s="5" t="s">
        <v>25</v>
      </c>
      <c r="B25" s="6">
        <f>COUNTIF(Audit!$D$2:$D$51,"Y014")</f>
        <v>5</v>
      </c>
      <c r="C25" s="6">
        <f>COUNTIFS(Audit!$D$2:$D$51,"Y014",Audit!$H$2:$H$51,"real")</f>
        <v>0</v>
      </c>
      <c r="D25" s="6">
        <f>COUNTIFS(Audit!$D$2:$D$51,"Y014",Audit!$H$2:$H$51,"false")</f>
        <v>0</v>
      </c>
    </row>
    <row r="26" spans="1:6" x14ac:dyDescent="0.3">
      <c r="A26" s="5" t="s">
        <v>26</v>
      </c>
      <c r="B26" s="6">
        <f>COUNTIF(Audit!$D$2:$D$51,"O004")</f>
        <v>7</v>
      </c>
      <c r="C26" s="6">
        <f>COUNTIFS(Audit!$D$2:$D$51,"O004",Audit!$H$2:$H$51,"real")</f>
        <v>2</v>
      </c>
      <c r="D26" s="6">
        <f>COUNTIFS(Audit!$D$2:$D$51,"O004",Audit!$H$2:$H$51,"false")</f>
        <v>0</v>
      </c>
    </row>
    <row r="28" spans="1:6" x14ac:dyDescent="0.3">
      <c r="A28" s="2" t="s">
        <v>27</v>
      </c>
    </row>
    <row r="29" spans="1:6" x14ac:dyDescent="0.3">
      <c r="A29" s="3" t="s">
        <v>28</v>
      </c>
      <c r="B29" s="4" t="s">
        <v>29</v>
      </c>
      <c r="C29" s="4" t="s">
        <v>30</v>
      </c>
    </row>
    <row r="30" spans="1:6" x14ac:dyDescent="0.3">
      <c r="A30" s="5" t="s">
        <v>31</v>
      </c>
      <c r="B30" s="6">
        <f>COUNT(Rating!$H$2:$H$21)</f>
        <v>20</v>
      </c>
      <c r="C30" s="11">
        <f>IFERROR(AVERAGE(Rating!$H$2:$H$21),"-")</f>
        <v>3.55</v>
      </c>
    </row>
    <row r="31" spans="1:6" x14ac:dyDescent="0.3">
      <c r="A31" s="5" t="s">
        <v>32</v>
      </c>
      <c r="B31" s="6">
        <f>COUNTIF(Rating!$C$2:$C$21,"optimization")</f>
        <v>5</v>
      </c>
      <c r="C31" s="11">
        <f>IFERROR(AVERAGEIF(Rating!$C$2:$C$21,"optimization",Rating!$H$2:$H$21),"-")</f>
        <v>3.6</v>
      </c>
    </row>
    <row r="32" spans="1:6" x14ac:dyDescent="0.3">
      <c r="A32" s="5" t="s">
        <v>33</v>
      </c>
      <c r="B32" s="6">
        <f>COUNTIF(Rating!$D$2:$D$21,"LLM001")</f>
        <v>3</v>
      </c>
      <c r="C32" s="11">
        <f>IFERROR(AVERAGEIF(Rating!$D$2:$D$21,"LLM001",Rating!$H$2:$H$21),"-")</f>
        <v>3.3333333333333335</v>
      </c>
    </row>
    <row r="34" spans="1:6" x14ac:dyDescent="0.3">
      <c r="A34" s="3" t="s">
        <v>34</v>
      </c>
      <c r="B34" s="4" t="s">
        <v>29</v>
      </c>
    </row>
    <row r="35" spans="1:6" x14ac:dyDescent="0.3">
      <c r="A35" s="5">
        <v>5</v>
      </c>
      <c r="B35" s="6">
        <f>COUNTIF(Rating!$H$2:$H$21,A35)</f>
        <v>5</v>
      </c>
    </row>
    <row r="36" spans="1:6" x14ac:dyDescent="0.3">
      <c r="A36" s="5">
        <v>4</v>
      </c>
      <c r="B36" s="6">
        <f>COUNTIF(Rating!$H$2:$H$21,A36)</f>
        <v>6</v>
      </c>
    </row>
    <row r="37" spans="1:6" x14ac:dyDescent="0.3">
      <c r="A37" s="5">
        <v>3</v>
      </c>
      <c r="B37" s="6">
        <f>COUNTIF(Rating!$H$2:$H$21,A37)</f>
        <v>6</v>
      </c>
    </row>
    <row r="38" spans="1:6" x14ac:dyDescent="0.3">
      <c r="A38" s="5">
        <v>2</v>
      </c>
      <c r="B38" s="6">
        <f>COUNTIF(Rating!$H$2:$H$21,A38)</f>
        <v>1</v>
      </c>
    </row>
    <row r="39" spans="1:6" x14ac:dyDescent="0.3">
      <c r="A39" s="5">
        <v>1</v>
      </c>
      <c r="B39" s="6">
        <f>COUNTIF(Rating!$H$2:$H$21,A39)</f>
        <v>2</v>
      </c>
    </row>
    <row r="41" spans="1:6" x14ac:dyDescent="0.3">
      <c r="A41" s="2" t="s">
        <v>35</v>
      </c>
    </row>
    <row r="42" spans="1:6" x14ac:dyDescent="0.3">
      <c r="A42" s="3" t="s">
        <v>36</v>
      </c>
      <c r="B42" s="4" t="s">
        <v>37</v>
      </c>
      <c r="C42" s="4" t="s">
        <v>38</v>
      </c>
    </row>
    <row r="43" spans="1:6" x14ac:dyDescent="0.3">
      <c r="A43" s="5" t="s">
        <v>39</v>
      </c>
      <c r="B43" s="6">
        <f>COUNTIF('Model findings'!$E$2:$E$11,"right")</f>
        <v>3</v>
      </c>
      <c r="C43" s="6">
        <f>COUNTIF('Model findings'!$F$2:$F$11,"right")</f>
        <v>3</v>
      </c>
    </row>
    <row r="44" spans="1:6" x14ac:dyDescent="0.3">
      <c r="A44" s="5" t="s">
        <v>40</v>
      </c>
      <c r="B44" s="6">
        <f>COUNTIF('Model findings'!$E$2:$E$11,"wrong")</f>
        <v>1</v>
      </c>
      <c r="C44" s="6">
        <f>COUNTIF('Model findings'!$F$2:$F$11,"wrong")</f>
        <v>1</v>
      </c>
    </row>
    <row r="45" spans="1:6" x14ac:dyDescent="0.3">
      <c r="A45" s="5" t="s">
        <v>41</v>
      </c>
      <c r="B45" s="6">
        <f>COUNTIF('Model findings'!$E$2:$E$11,"missed")</f>
        <v>6</v>
      </c>
      <c r="C45" s="6">
        <f>COUNTIF('Model findings'!$F$2:$F$11,"missed")</f>
        <v>6</v>
      </c>
    </row>
    <row r="47" spans="1:6" x14ac:dyDescent="0.3">
      <c r="A47" s="2" t="s">
        <v>42</v>
      </c>
    </row>
    <row r="48" spans="1:6" ht="25.5" customHeight="1" x14ac:dyDescent="0.3">
      <c r="A48" s="18" t="s">
        <v>43</v>
      </c>
      <c r="B48" s="18"/>
      <c r="C48" s="18"/>
      <c r="D48" s="18"/>
      <c r="E48" s="18"/>
      <c r="F48" s="18"/>
    </row>
    <row r="49" spans="1:6" ht="25.5" customHeight="1" x14ac:dyDescent="0.3">
      <c r="A49" s="18" t="s">
        <v>44</v>
      </c>
      <c r="B49" s="18"/>
      <c r="C49" s="18"/>
      <c r="D49" s="18"/>
      <c r="E49" s="18"/>
      <c r="F49" s="18"/>
    </row>
    <row r="50" spans="1:6" ht="25.5" customHeight="1" x14ac:dyDescent="0.3">
      <c r="A50" s="18" t="s">
        <v>45</v>
      </c>
      <c r="B50" s="18"/>
      <c r="C50" s="18"/>
      <c r="D50" s="18"/>
      <c r="E50" s="18"/>
      <c r="F50" s="18"/>
    </row>
    <row r="51" spans="1:6" ht="25.5" customHeight="1" x14ac:dyDescent="0.3">
      <c r="A51" s="18" t="s">
        <v>46</v>
      </c>
      <c r="B51" s="18"/>
      <c r="C51" s="18"/>
      <c r="D51" s="18"/>
      <c r="E51" s="18"/>
      <c r="F51" s="18"/>
    </row>
    <row r="52" spans="1:6" ht="25.5" customHeight="1" x14ac:dyDescent="0.3">
      <c r="A52" s="18" t="s">
        <v>47</v>
      </c>
      <c r="B52" s="18"/>
      <c r="C52" s="18"/>
      <c r="D52" s="18"/>
      <c r="E52" s="18"/>
      <c r="F52" s="18"/>
    </row>
  </sheetData>
  <mergeCells count="6">
    <mergeCell ref="A52:F52"/>
    <mergeCell ref="A2:F2"/>
    <mergeCell ref="A48:F48"/>
    <mergeCell ref="A49:F49"/>
    <mergeCell ref="A50:F50"/>
    <mergeCell ref="A51:F51"/>
  </mergeCells>
  <pageMargins left="0.75" right="0.75" top="1" bottom="1" header="0.511811023622047" footer="0.511811023622047"/>
  <pageSetup fitToHeight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5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24" customWidth="1"/>
    <col min="2" max="2" width="7" customWidth="1"/>
    <col min="3" max="3" width="13" customWidth="1"/>
    <col min="4" max="4" width="8" customWidth="1"/>
    <col min="5" max="5" width="10" customWidth="1"/>
    <col min="6" max="6" width="34" customWidth="1"/>
    <col min="7" max="7" width="70" customWidth="1"/>
    <col min="8" max="8" width="10" customWidth="1"/>
    <col min="9" max="9" width="52" customWidth="1"/>
  </cols>
  <sheetData>
    <row r="1" spans="1:9" ht="30" customHeight="1" x14ac:dyDescent="0.3">
      <c r="A1" s="12" t="s">
        <v>48</v>
      </c>
      <c r="B1" s="12" t="s">
        <v>49</v>
      </c>
      <c r="C1" s="12" t="s">
        <v>50</v>
      </c>
      <c r="D1" s="12" t="s">
        <v>51</v>
      </c>
      <c r="E1" s="12" t="s">
        <v>52</v>
      </c>
      <c r="F1" s="12" t="s">
        <v>53</v>
      </c>
      <c r="G1" s="12" t="s">
        <v>54</v>
      </c>
      <c r="H1" s="12" t="s">
        <v>55</v>
      </c>
      <c r="I1" s="12" t="s">
        <v>56</v>
      </c>
    </row>
    <row r="2" spans="1:9" ht="75" customHeight="1" x14ac:dyDescent="0.3">
      <c r="A2" s="13" t="s">
        <v>57</v>
      </c>
      <c r="B2" s="14">
        <v>616</v>
      </c>
      <c r="C2" s="14" t="s">
        <v>8</v>
      </c>
      <c r="D2" s="14" t="s">
        <v>58</v>
      </c>
      <c r="E2" s="14" t="s">
        <v>18</v>
      </c>
      <c r="F2" s="13" t="s">
        <v>59</v>
      </c>
      <c r="G2" s="15" t="s">
        <v>60</v>
      </c>
      <c r="H2" s="16" t="s">
        <v>61</v>
      </c>
      <c r="I2" s="13" t="s">
        <v>62</v>
      </c>
    </row>
    <row r="3" spans="1:9" ht="75" customHeight="1" x14ac:dyDescent="0.3">
      <c r="A3" s="13" t="s">
        <v>57</v>
      </c>
      <c r="B3" s="14">
        <v>5947</v>
      </c>
      <c r="C3" s="14" t="s">
        <v>8</v>
      </c>
      <c r="D3" s="14" t="s">
        <v>63</v>
      </c>
      <c r="E3" s="14" t="s">
        <v>17</v>
      </c>
      <c r="F3" s="13" t="s">
        <v>64</v>
      </c>
      <c r="G3" s="15" t="s">
        <v>65</v>
      </c>
      <c r="H3" s="16" t="s">
        <v>61</v>
      </c>
      <c r="I3" s="13" t="s">
        <v>66</v>
      </c>
    </row>
    <row r="4" spans="1:9" ht="75" customHeight="1" x14ac:dyDescent="0.3">
      <c r="A4" s="13" t="s">
        <v>67</v>
      </c>
      <c r="B4" s="14">
        <v>332</v>
      </c>
      <c r="C4" s="14" t="s">
        <v>8</v>
      </c>
      <c r="D4" s="14" t="s">
        <v>68</v>
      </c>
      <c r="E4" s="14" t="s">
        <v>18</v>
      </c>
      <c r="F4" s="13" t="s">
        <v>69</v>
      </c>
      <c r="G4" s="15" t="s">
        <v>70</v>
      </c>
      <c r="H4" s="16" t="s">
        <v>61</v>
      </c>
      <c r="I4" s="13" t="s">
        <v>71</v>
      </c>
    </row>
    <row r="5" spans="1:9" ht="75" customHeight="1" x14ac:dyDescent="0.3">
      <c r="A5" s="13" t="s">
        <v>72</v>
      </c>
      <c r="B5" s="14">
        <v>163</v>
      </c>
      <c r="C5" s="14" t="s">
        <v>8</v>
      </c>
      <c r="D5" s="14" t="s">
        <v>68</v>
      </c>
      <c r="E5" s="14" t="s">
        <v>18</v>
      </c>
      <c r="F5" s="13" t="s">
        <v>69</v>
      </c>
      <c r="G5" s="15" t="s">
        <v>73</v>
      </c>
      <c r="H5" s="16" t="s">
        <v>61</v>
      </c>
      <c r="I5" s="13" t="s">
        <v>71</v>
      </c>
    </row>
    <row r="6" spans="1:9" ht="75" customHeight="1" x14ac:dyDescent="0.3">
      <c r="A6" s="13" t="s">
        <v>74</v>
      </c>
      <c r="B6" s="14">
        <v>461</v>
      </c>
      <c r="C6" s="14" t="s">
        <v>8</v>
      </c>
      <c r="D6" s="14" t="s">
        <v>75</v>
      </c>
      <c r="E6" s="14" t="s">
        <v>19</v>
      </c>
      <c r="F6" s="13" t="s">
        <v>76</v>
      </c>
      <c r="G6" s="15" t="s">
        <v>77</v>
      </c>
      <c r="H6" s="16" t="s">
        <v>78</v>
      </c>
      <c r="I6" s="13" t="s">
        <v>79</v>
      </c>
    </row>
    <row r="7" spans="1:9" ht="75" customHeight="1" x14ac:dyDescent="0.3">
      <c r="A7" s="13" t="s">
        <v>80</v>
      </c>
      <c r="B7" s="14">
        <v>931</v>
      </c>
      <c r="C7" s="14" t="s">
        <v>8</v>
      </c>
      <c r="D7" s="14" t="s">
        <v>68</v>
      </c>
      <c r="E7" s="14" t="s">
        <v>18</v>
      </c>
      <c r="F7" s="13" t="s">
        <v>69</v>
      </c>
      <c r="G7" s="15" t="s">
        <v>81</v>
      </c>
      <c r="H7" s="16" t="s">
        <v>61</v>
      </c>
      <c r="I7" s="13" t="s">
        <v>71</v>
      </c>
    </row>
    <row r="8" spans="1:9" ht="75" customHeight="1" x14ac:dyDescent="0.3">
      <c r="A8" s="13" t="s">
        <v>82</v>
      </c>
      <c r="B8" s="14">
        <v>52</v>
      </c>
      <c r="C8" s="14" t="s">
        <v>8</v>
      </c>
      <c r="D8" s="14" t="s">
        <v>83</v>
      </c>
      <c r="E8" s="14" t="s">
        <v>18</v>
      </c>
      <c r="F8" s="13" t="s">
        <v>84</v>
      </c>
      <c r="G8" s="15" t="s">
        <v>85</v>
      </c>
      <c r="H8" s="16" t="s">
        <v>78</v>
      </c>
      <c r="I8" s="13" t="s">
        <v>86</v>
      </c>
    </row>
    <row r="9" spans="1:9" ht="75" customHeight="1" x14ac:dyDescent="0.3">
      <c r="A9" s="13" t="s">
        <v>87</v>
      </c>
      <c r="B9" s="14">
        <v>373</v>
      </c>
      <c r="C9" s="14" t="s">
        <v>8</v>
      </c>
      <c r="D9" s="14" t="s">
        <v>68</v>
      </c>
      <c r="E9" s="14" t="s">
        <v>18</v>
      </c>
      <c r="F9" s="13" t="s">
        <v>69</v>
      </c>
      <c r="G9" s="15" t="s">
        <v>88</v>
      </c>
      <c r="H9" s="16" t="s">
        <v>61</v>
      </c>
      <c r="I9" s="13" t="s">
        <v>71</v>
      </c>
    </row>
    <row r="10" spans="1:9" ht="75" customHeight="1" x14ac:dyDescent="0.3">
      <c r="A10" s="13" t="s">
        <v>87</v>
      </c>
      <c r="B10" s="14">
        <v>512</v>
      </c>
      <c r="C10" s="14" t="s">
        <v>8</v>
      </c>
      <c r="D10" s="14" t="s">
        <v>68</v>
      </c>
      <c r="E10" s="14" t="s">
        <v>18</v>
      </c>
      <c r="F10" s="13" t="s">
        <v>69</v>
      </c>
      <c r="G10" s="15" t="s">
        <v>89</v>
      </c>
      <c r="H10" s="16" t="s">
        <v>61</v>
      </c>
      <c r="I10" s="13" t="s">
        <v>71</v>
      </c>
    </row>
    <row r="11" spans="1:9" ht="75" customHeight="1" x14ac:dyDescent="0.3">
      <c r="A11" s="13" t="s">
        <v>90</v>
      </c>
      <c r="B11" s="14">
        <v>1016</v>
      </c>
      <c r="C11" s="14" t="s">
        <v>8</v>
      </c>
      <c r="D11" s="14" t="s">
        <v>68</v>
      </c>
      <c r="E11" s="14" t="s">
        <v>18</v>
      </c>
      <c r="F11" s="13" t="s">
        <v>69</v>
      </c>
      <c r="G11" s="15" t="s">
        <v>91</v>
      </c>
      <c r="H11" s="16" t="s">
        <v>61</v>
      </c>
      <c r="I11" s="13" t="s">
        <v>92</v>
      </c>
    </row>
    <row r="12" spans="1:9" ht="75" customHeight="1" x14ac:dyDescent="0.3">
      <c r="A12" s="13" t="s">
        <v>93</v>
      </c>
      <c r="B12" s="14">
        <v>2747</v>
      </c>
      <c r="C12" s="14" t="s">
        <v>8</v>
      </c>
      <c r="D12" s="14" t="s">
        <v>58</v>
      </c>
      <c r="E12" s="14" t="s">
        <v>18</v>
      </c>
      <c r="F12" s="13" t="s">
        <v>59</v>
      </c>
      <c r="G12" s="15" t="s">
        <v>94</v>
      </c>
      <c r="H12" s="16" t="s">
        <v>61</v>
      </c>
      <c r="I12" s="13" t="s">
        <v>95</v>
      </c>
    </row>
    <row r="13" spans="1:9" ht="75" customHeight="1" x14ac:dyDescent="0.3">
      <c r="A13" s="13" t="s">
        <v>96</v>
      </c>
      <c r="B13" s="14">
        <v>656</v>
      </c>
      <c r="C13" s="14" t="s">
        <v>8</v>
      </c>
      <c r="D13" s="14" t="s">
        <v>68</v>
      </c>
      <c r="E13" s="14" t="s">
        <v>18</v>
      </c>
      <c r="F13" s="13" t="s">
        <v>69</v>
      </c>
      <c r="G13" s="15" t="s">
        <v>97</v>
      </c>
      <c r="H13" s="16" t="s">
        <v>78</v>
      </c>
      <c r="I13" s="13" t="s">
        <v>98</v>
      </c>
    </row>
    <row r="14" spans="1:9" ht="75" customHeight="1" x14ac:dyDescent="0.3">
      <c r="A14" s="13" t="s">
        <v>99</v>
      </c>
      <c r="B14" s="14">
        <v>235</v>
      </c>
      <c r="C14" s="14" t="s">
        <v>11</v>
      </c>
      <c r="D14" s="14" t="s">
        <v>100</v>
      </c>
      <c r="E14" s="14" t="s">
        <v>19</v>
      </c>
      <c r="F14" s="13" t="s">
        <v>101</v>
      </c>
      <c r="G14" s="15" t="s">
        <v>102</v>
      </c>
      <c r="H14" s="16" t="s">
        <v>61</v>
      </c>
      <c r="I14" s="13" t="s">
        <v>103</v>
      </c>
    </row>
    <row r="15" spans="1:9" ht="75" customHeight="1" x14ac:dyDescent="0.3">
      <c r="A15" s="13" t="s">
        <v>104</v>
      </c>
      <c r="B15" s="14">
        <v>120</v>
      </c>
      <c r="C15" s="14" t="s">
        <v>11</v>
      </c>
      <c r="D15" s="14" t="s">
        <v>105</v>
      </c>
      <c r="E15" s="14" t="s">
        <v>19</v>
      </c>
      <c r="F15" s="13" t="s">
        <v>106</v>
      </c>
      <c r="G15" s="15" t="s">
        <v>107</v>
      </c>
      <c r="H15" s="16" t="s">
        <v>78</v>
      </c>
      <c r="I15" s="13" t="s">
        <v>108</v>
      </c>
    </row>
    <row r="16" spans="1:9" ht="75" customHeight="1" x14ac:dyDescent="0.3">
      <c r="A16" s="13" t="s">
        <v>104</v>
      </c>
      <c r="B16" s="14">
        <v>267</v>
      </c>
      <c r="C16" s="14" t="s">
        <v>11</v>
      </c>
      <c r="D16" s="14" t="s">
        <v>105</v>
      </c>
      <c r="E16" s="14" t="s">
        <v>19</v>
      </c>
      <c r="F16" s="13" t="s">
        <v>106</v>
      </c>
      <c r="G16" s="15" t="s">
        <v>109</v>
      </c>
      <c r="H16" s="16" t="s">
        <v>61</v>
      </c>
      <c r="I16" s="13" t="s">
        <v>110</v>
      </c>
    </row>
    <row r="17" spans="1:9" ht="75" customHeight="1" x14ac:dyDescent="0.3">
      <c r="A17" s="13" t="s">
        <v>104</v>
      </c>
      <c r="B17" s="14">
        <v>541</v>
      </c>
      <c r="C17" s="14" t="s">
        <v>11</v>
      </c>
      <c r="D17" s="14" t="s">
        <v>105</v>
      </c>
      <c r="E17" s="14" t="s">
        <v>19</v>
      </c>
      <c r="F17" s="13" t="s">
        <v>106</v>
      </c>
      <c r="G17" s="15" t="s">
        <v>111</v>
      </c>
      <c r="H17" s="16" t="s">
        <v>61</v>
      </c>
      <c r="I17" s="13" t="s">
        <v>110</v>
      </c>
    </row>
    <row r="18" spans="1:9" ht="75" customHeight="1" x14ac:dyDescent="0.3">
      <c r="A18" s="13" t="s">
        <v>104</v>
      </c>
      <c r="B18" s="14">
        <v>549</v>
      </c>
      <c r="C18" s="14" t="s">
        <v>11</v>
      </c>
      <c r="D18" s="14" t="s">
        <v>105</v>
      </c>
      <c r="E18" s="14" t="s">
        <v>19</v>
      </c>
      <c r="F18" s="13" t="s">
        <v>106</v>
      </c>
      <c r="G18" s="15" t="s">
        <v>112</v>
      </c>
      <c r="H18" s="16" t="s">
        <v>61</v>
      </c>
      <c r="I18" s="13" t="s">
        <v>110</v>
      </c>
    </row>
    <row r="19" spans="1:9" ht="75" customHeight="1" x14ac:dyDescent="0.3">
      <c r="A19" s="13" t="s">
        <v>104</v>
      </c>
      <c r="B19" s="14">
        <v>2300</v>
      </c>
      <c r="C19" s="14" t="s">
        <v>11</v>
      </c>
      <c r="D19" s="14" t="s">
        <v>105</v>
      </c>
      <c r="E19" s="14" t="s">
        <v>19</v>
      </c>
      <c r="F19" s="13" t="s">
        <v>106</v>
      </c>
      <c r="G19" s="15" t="s">
        <v>113</v>
      </c>
      <c r="H19" s="16" t="s">
        <v>78</v>
      </c>
      <c r="I19" s="13" t="s">
        <v>114</v>
      </c>
    </row>
    <row r="20" spans="1:9" ht="75" customHeight="1" x14ac:dyDescent="0.3">
      <c r="A20" s="13" t="s">
        <v>74</v>
      </c>
      <c r="B20" s="14">
        <v>480</v>
      </c>
      <c r="C20" s="14" t="s">
        <v>11</v>
      </c>
      <c r="D20" s="14" t="s">
        <v>115</v>
      </c>
      <c r="E20" s="14" t="s">
        <v>20</v>
      </c>
      <c r="F20" s="13" t="s">
        <v>116</v>
      </c>
      <c r="G20" s="15" t="s">
        <v>117</v>
      </c>
      <c r="H20" s="16" t="s">
        <v>78</v>
      </c>
      <c r="I20" s="13" t="s">
        <v>118</v>
      </c>
    </row>
    <row r="21" spans="1:9" ht="75" customHeight="1" x14ac:dyDescent="0.3">
      <c r="A21" s="13" t="s">
        <v>119</v>
      </c>
      <c r="B21" s="14">
        <v>171</v>
      </c>
      <c r="C21" s="14" t="s">
        <v>11</v>
      </c>
      <c r="D21" s="14" t="s">
        <v>105</v>
      </c>
      <c r="E21" s="14" t="s">
        <v>19</v>
      </c>
      <c r="F21" s="13" t="s">
        <v>106</v>
      </c>
      <c r="G21" s="15" t="s">
        <v>120</v>
      </c>
      <c r="H21" s="16" t="s">
        <v>61</v>
      </c>
      <c r="I21" s="13" t="s">
        <v>121</v>
      </c>
    </row>
    <row r="22" spans="1:9" ht="75" customHeight="1" x14ac:dyDescent="0.3">
      <c r="A22" s="13" t="s">
        <v>122</v>
      </c>
      <c r="B22" s="14">
        <v>184</v>
      </c>
      <c r="C22" s="14" t="s">
        <v>11</v>
      </c>
      <c r="D22" s="14" t="s">
        <v>115</v>
      </c>
      <c r="E22" s="14" t="s">
        <v>20</v>
      </c>
      <c r="F22" s="13" t="s">
        <v>116</v>
      </c>
      <c r="G22" s="15" t="s">
        <v>123</v>
      </c>
      <c r="H22" s="16" t="s">
        <v>78</v>
      </c>
      <c r="I22" s="13" t="s">
        <v>118</v>
      </c>
    </row>
    <row r="23" spans="1:9" ht="75" customHeight="1" x14ac:dyDescent="0.3">
      <c r="A23" s="13" t="s">
        <v>124</v>
      </c>
      <c r="B23" s="14">
        <v>440</v>
      </c>
      <c r="C23" s="14" t="s">
        <v>11</v>
      </c>
      <c r="D23" s="14" t="s">
        <v>105</v>
      </c>
      <c r="E23" s="14" t="s">
        <v>19</v>
      </c>
      <c r="F23" s="13" t="s">
        <v>106</v>
      </c>
      <c r="G23" s="15" t="s">
        <v>125</v>
      </c>
      <c r="H23" s="16" t="s">
        <v>61</v>
      </c>
      <c r="I23" s="13" t="s">
        <v>110</v>
      </c>
    </row>
    <row r="24" spans="1:9" ht="75" customHeight="1" x14ac:dyDescent="0.3">
      <c r="A24" s="13" t="s">
        <v>93</v>
      </c>
      <c r="B24" s="14">
        <v>309</v>
      </c>
      <c r="C24" s="14" t="s">
        <v>11</v>
      </c>
      <c r="D24" s="14" t="s">
        <v>115</v>
      </c>
      <c r="E24" s="14" t="s">
        <v>20</v>
      </c>
      <c r="F24" s="13" t="s">
        <v>116</v>
      </c>
      <c r="G24" s="15" t="s">
        <v>126</v>
      </c>
      <c r="H24" s="16" t="s">
        <v>78</v>
      </c>
      <c r="I24" s="13" t="s">
        <v>118</v>
      </c>
    </row>
    <row r="25" spans="1:9" ht="75" customHeight="1" x14ac:dyDescent="0.3">
      <c r="A25" s="13" t="s">
        <v>96</v>
      </c>
      <c r="B25" s="14">
        <v>429</v>
      </c>
      <c r="C25" s="14" t="s">
        <v>11</v>
      </c>
      <c r="D25" s="14" t="s">
        <v>100</v>
      </c>
      <c r="E25" s="14" t="s">
        <v>19</v>
      </c>
      <c r="F25" s="13" t="s">
        <v>101</v>
      </c>
      <c r="G25" s="15" t="s">
        <v>127</v>
      </c>
      <c r="H25" s="16" t="s">
        <v>61</v>
      </c>
      <c r="I25" s="13" t="s">
        <v>128</v>
      </c>
    </row>
    <row r="26" spans="1:9" ht="75" customHeight="1" x14ac:dyDescent="0.3">
      <c r="A26" s="13" t="s">
        <v>129</v>
      </c>
      <c r="B26" s="14">
        <v>319</v>
      </c>
      <c r="C26" s="14" t="s">
        <v>11</v>
      </c>
      <c r="D26" s="14" t="s">
        <v>115</v>
      </c>
      <c r="E26" s="14" t="s">
        <v>20</v>
      </c>
      <c r="F26" s="13" t="s">
        <v>116</v>
      </c>
      <c r="G26" s="15" t="s">
        <v>130</v>
      </c>
      <c r="H26" s="16" t="s">
        <v>78</v>
      </c>
      <c r="I26" s="13" t="s">
        <v>118</v>
      </c>
    </row>
    <row r="27" spans="1:9" ht="75" customHeight="1" x14ac:dyDescent="0.3">
      <c r="A27" s="13" t="s">
        <v>67</v>
      </c>
      <c r="B27" s="14">
        <v>1126</v>
      </c>
      <c r="C27" s="14" t="s">
        <v>9</v>
      </c>
      <c r="D27" s="14" t="s">
        <v>131</v>
      </c>
      <c r="E27" s="14" t="s">
        <v>19</v>
      </c>
      <c r="F27" s="13" t="s">
        <v>132</v>
      </c>
      <c r="G27" s="15" t="s">
        <v>133</v>
      </c>
      <c r="H27" s="16" t="s">
        <v>61</v>
      </c>
      <c r="I27" s="13" t="s">
        <v>134</v>
      </c>
    </row>
    <row r="28" spans="1:9" ht="75" customHeight="1" x14ac:dyDescent="0.3">
      <c r="A28" s="13" t="s">
        <v>72</v>
      </c>
      <c r="B28" s="14">
        <v>140</v>
      </c>
      <c r="C28" s="14" t="s">
        <v>9</v>
      </c>
      <c r="D28" s="14" t="s">
        <v>131</v>
      </c>
      <c r="E28" s="14" t="s">
        <v>19</v>
      </c>
      <c r="F28" s="13" t="s">
        <v>132</v>
      </c>
      <c r="G28" s="15" t="s">
        <v>135</v>
      </c>
      <c r="H28" s="16" t="s">
        <v>78</v>
      </c>
      <c r="I28" s="13" t="s">
        <v>136</v>
      </c>
    </row>
    <row r="29" spans="1:9" ht="75" customHeight="1" x14ac:dyDescent="0.3">
      <c r="A29" s="13" t="s">
        <v>137</v>
      </c>
      <c r="B29" s="14">
        <v>104</v>
      </c>
      <c r="C29" s="14" t="s">
        <v>9</v>
      </c>
      <c r="D29" s="14" t="s">
        <v>138</v>
      </c>
      <c r="E29" s="14" t="s">
        <v>16</v>
      </c>
      <c r="F29" s="13" t="s">
        <v>139</v>
      </c>
      <c r="G29" s="15" t="s">
        <v>140</v>
      </c>
      <c r="H29" s="16" t="s">
        <v>61</v>
      </c>
      <c r="I29" s="13" t="s">
        <v>141</v>
      </c>
    </row>
    <row r="30" spans="1:9" ht="75" customHeight="1" x14ac:dyDescent="0.3">
      <c r="A30" s="13" t="s">
        <v>142</v>
      </c>
      <c r="B30" s="14">
        <v>14</v>
      </c>
      <c r="C30" s="14" t="s">
        <v>9</v>
      </c>
      <c r="D30" s="14" t="s">
        <v>131</v>
      </c>
      <c r="E30" s="14" t="s">
        <v>19</v>
      </c>
      <c r="F30" s="13" t="s">
        <v>132</v>
      </c>
      <c r="G30" s="15" t="s">
        <v>143</v>
      </c>
      <c r="H30" s="16" t="s">
        <v>78</v>
      </c>
      <c r="I30" s="13" t="s">
        <v>144</v>
      </c>
    </row>
    <row r="31" spans="1:9" ht="75" customHeight="1" x14ac:dyDescent="0.3">
      <c r="A31" s="13" t="s">
        <v>145</v>
      </c>
      <c r="B31" s="14">
        <v>45</v>
      </c>
      <c r="C31" s="14" t="s">
        <v>9</v>
      </c>
      <c r="D31" s="14" t="s">
        <v>131</v>
      </c>
      <c r="E31" s="14" t="s">
        <v>19</v>
      </c>
      <c r="F31" s="13" t="s">
        <v>132</v>
      </c>
      <c r="G31" s="15" t="s">
        <v>146</v>
      </c>
      <c r="H31" s="16" t="s">
        <v>78</v>
      </c>
      <c r="I31" s="13" t="s">
        <v>144</v>
      </c>
    </row>
    <row r="32" spans="1:9" ht="75" customHeight="1" x14ac:dyDescent="0.3">
      <c r="A32" s="13" t="s">
        <v>147</v>
      </c>
      <c r="B32" s="14">
        <v>219</v>
      </c>
      <c r="C32" s="14" t="s">
        <v>9</v>
      </c>
      <c r="D32" s="14" t="s">
        <v>138</v>
      </c>
      <c r="E32" s="14" t="s">
        <v>16</v>
      </c>
      <c r="F32" s="13" t="s">
        <v>139</v>
      </c>
      <c r="G32" s="15" t="s">
        <v>148</v>
      </c>
      <c r="H32" s="16" t="s">
        <v>78</v>
      </c>
      <c r="I32" s="13" t="s">
        <v>149</v>
      </c>
    </row>
    <row r="33" spans="1:9" ht="75" customHeight="1" x14ac:dyDescent="0.3">
      <c r="A33" s="13" t="s">
        <v>124</v>
      </c>
      <c r="B33" s="14">
        <v>1025</v>
      </c>
      <c r="C33" s="14" t="s">
        <v>9</v>
      </c>
      <c r="D33" s="14" t="s">
        <v>150</v>
      </c>
      <c r="E33" s="14" t="s">
        <v>17</v>
      </c>
      <c r="F33" s="13" t="s">
        <v>151</v>
      </c>
      <c r="G33" s="15" t="s">
        <v>152</v>
      </c>
      <c r="H33" s="16" t="s">
        <v>61</v>
      </c>
      <c r="I33" s="13" t="s">
        <v>153</v>
      </c>
    </row>
    <row r="34" spans="1:9" ht="75" customHeight="1" x14ac:dyDescent="0.3">
      <c r="A34" s="13" t="s">
        <v>154</v>
      </c>
      <c r="B34" s="14">
        <v>287</v>
      </c>
      <c r="C34" s="14" t="s">
        <v>9</v>
      </c>
      <c r="D34" s="14" t="s">
        <v>150</v>
      </c>
      <c r="E34" s="14" t="s">
        <v>17</v>
      </c>
      <c r="F34" s="13" t="s">
        <v>151</v>
      </c>
      <c r="G34" s="15" t="s">
        <v>155</v>
      </c>
      <c r="H34" s="16" t="s">
        <v>61</v>
      </c>
      <c r="I34" s="13" t="s">
        <v>156</v>
      </c>
    </row>
    <row r="35" spans="1:9" ht="75" customHeight="1" x14ac:dyDescent="0.3">
      <c r="A35" s="13" t="s">
        <v>157</v>
      </c>
      <c r="B35" s="14">
        <v>88</v>
      </c>
      <c r="C35" s="14" t="s">
        <v>9</v>
      </c>
      <c r="D35" s="14" t="s">
        <v>138</v>
      </c>
      <c r="E35" s="14" t="s">
        <v>16</v>
      </c>
      <c r="F35" s="13" t="s">
        <v>139</v>
      </c>
      <c r="G35" s="15" t="s">
        <v>158</v>
      </c>
      <c r="H35" s="16" t="s">
        <v>61</v>
      </c>
      <c r="I35" s="13" t="s">
        <v>141</v>
      </c>
    </row>
    <row r="36" spans="1:9" ht="75" customHeight="1" x14ac:dyDescent="0.3">
      <c r="A36" s="13" t="s">
        <v>90</v>
      </c>
      <c r="B36" s="14">
        <v>935</v>
      </c>
      <c r="C36" s="14" t="s">
        <v>9</v>
      </c>
      <c r="D36" s="14" t="s">
        <v>131</v>
      </c>
      <c r="E36" s="14" t="s">
        <v>19</v>
      </c>
      <c r="F36" s="13" t="s">
        <v>132</v>
      </c>
      <c r="G36" s="15" t="s">
        <v>159</v>
      </c>
      <c r="H36" s="16" t="s">
        <v>61</v>
      </c>
      <c r="I36" s="13" t="s">
        <v>160</v>
      </c>
    </row>
    <row r="37" spans="1:9" ht="75" customHeight="1" x14ac:dyDescent="0.3">
      <c r="A37" s="13" t="s">
        <v>93</v>
      </c>
      <c r="B37" s="14">
        <v>4037</v>
      </c>
      <c r="C37" s="14" t="s">
        <v>9</v>
      </c>
      <c r="D37" s="14" t="s">
        <v>138</v>
      </c>
      <c r="E37" s="14" t="s">
        <v>16</v>
      </c>
      <c r="F37" s="13" t="s">
        <v>139</v>
      </c>
      <c r="G37" s="15" t="s">
        <v>161</v>
      </c>
      <c r="H37" s="16" t="s">
        <v>61</v>
      </c>
      <c r="I37" s="13" t="s">
        <v>162</v>
      </c>
    </row>
    <row r="38" spans="1:9" ht="75" customHeight="1" x14ac:dyDescent="0.3">
      <c r="A38" s="13" t="s">
        <v>96</v>
      </c>
      <c r="B38" s="14">
        <v>191</v>
      </c>
      <c r="C38" s="14" t="s">
        <v>9</v>
      </c>
      <c r="D38" s="14" t="s">
        <v>131</v>
      </c>
      <c r="E38" s="14" t="s">
        <v>19</v>
      </c>
      <c r="F38" s="13" t="s">
        <v>132</v>
      </c>
      <c r="G38" s="15" t="s">
        <v>163</v>
      </c>
      <c r="H38" s="16" t="s">
        <v>78</v>
      </c>
      <c r="I38" s="13" t="s">
        <v>164</v>
      </c>
    </row>
    <row r="39" spans="1:9" ht="75" customHeight="1" x14ac:dyDescent="0.3">
      <c r="A39" s="13" t="s">
        <v>165</v>
      </c>
      <c r="B39" s="14">
        <v>56</v>
      </c>
      <c r="C39" s="14" t="s">
        <v>10</v>
      </c>
      <c r="D39" s="14" t="s">
        <v>166</v>
      </c>
      <c r="E39" s="14" t="s">
        <v>19</v>
      </c>
      <c r="F39" s="13" t="s">
        <v>167</v>
      </c>
      <c r="G39" s="15" t="s">
        <v>168</v>
      </c>
      <c r="H39" s="16" t="s">
        <v>61</v>
      </c>
      <c r="I39" s="13" t="s">
        <v>169</v>
      </c>
    </row>
    <row r="40" spans="1:9" ht="75" customHeight="1" x14ac:dyDescent="0.3">
      <c r="A40" s="13" t="s">
        <v>165</v>
      </c>
      <c r="B40" s="14">
        <v>65</v>
      </c>
      <c r="C40" s="14" t="s">
        <v>10</v>
      </c>
      <c r="D40" s="14" t="s">
        <v>166</v>
      </c>
      <c r="E40" s="14" t="s">
        <v>19</v>
      </c>
      <c r="F40" s="13" t="s">
        <v>170</v>
      </c>
      <c r="G40" s="15" t="s">
        <v>171</v>
      </c>
      <c r="H40" s="16" t="s">
        <v>61</v>
      </c>
      <c r="I40" s="13" t="s">
        <v>169</v>
      </c>
    </row>
    <row r="41" spans="1:9" ht="75" customHeight="1" x14ac:dyDescent="0.3">
      <c r="A41" s="13" t="s">
        <v>165</v>
      </c>
      <c r="B41" s="14">
        <v>409</v>
      </c>
      <c r="C41" s="14" t="s">
        <v>10</v>
      </c>
      <c r="D41" s="14" t="s">
        <v>172</v>
      </c>
      <c r="E41" s="14" t="s">
        <v>20</v>
      </c>
      <c r="F41" s="13" t="s">
        <v>173</v>
      </c>
      <c r="G41" s="15" t="s">
        <v>174</v>
      </c>
      <c r="H41" s="16" t="s">
        <v>61</v>
      </c>
      <c r="I41" s="13" t="s">
        <v>175</v>
      </c>
    </row>
    <row r="42" spans="1:9" ht="75" customHeight="1" x14ac:dyDescent="0.3">
      <c r="A42" s="13" t="s">
        <v>104</v>
      </c>
      <c r="B42" s="14">
        <v>764</v>
      </c>
      <c r="C42" s="14" t="s">
        <v>10</v>
      </c>
      <c r="D42" s="14" t="s">
        <v>176</v>
      </c>
      <c r="E42" s="14" t="s">
        <v>18</v>
      </c>
      <c r="F42" s="13" t="s">
        <v>177</v>
      </c>
      <c r="G42" s="15" t="s">
        <v>178</v>
      </c>
      <c r="H42" s="16" t="s">
        <v>78</v>
      </c>
      <c r="I42" s="13" t="s">
        <v>179</v>
      </c>
    </row>
    <row r="43" spans="1:9" ht="75" customHeight="1" x14ac:dyDescent="0.3">
      <c r="A43" s="13" t="s">
        <v>104</v>
      </c>
      <c r="B43" s="14">
        <v>1043</v>
      </c>
      <c r="C43" s="14" t="s">
        <v>10</v>
      </c>
      <c r="D43" s="14" t="s">
        <v>180</v>
      </c>
      <c r="E43" s="14" t="s">
        <v>18</v>
      </c>
      <c r="F43" s="13" t="s">
        <v>181</v>
      </c>
      <c r="G43" s="15" t="s">
        <v>182</v>
      </c>
      <c r="H43" s="16" t="s">
        <v>61</v>
      </c>
      <c r="I43" s="13" t="s">
        <v>183</v>
      </c>
    </row>
    <row r="44" spans="1:9" ht="75" customHeight="1" x14ac:dyDescent="0.3">
      <c r="A44" s="13" t="s">
        <v>184</v>
      </c>
      <c r="B44" s="14">
        <v>269</v>
      </c>
      <c r="C44" s="14" t="s">
        <v>10</v>
      </c>
      <c r="D44" s="14" t="s">
        <v>185</v>
      </c>
      <c r="E44" s="14" t="s">
        <v>18</v>
      </c>
      <c r="F44" s="13" t="s">
        <v>186</v>
      </c>
      <c r="G44" s="15" t="s">
        <v>187</v>
      </c>
      <c r="H44" s="16" t="s">
        <v>78</v>
      </c>
      <c r="I44" s="13" t="s">
        <v>188</v>
      </c>
    </row>
    <row r="45" spans="1:9" ht="75" customHeight="1" x14ac:dyDescent="0.3">
      <c r="A45" s="13" t="s">
        <v>189</v>
      </c>
      <c r="B45" s="14">
        <v>11659</v>
      </c>
      <c r="C45" s="14" t="s">
        <v>10</v>
      </c>
      <c r="D45" s="14" t="s">
        <v>190</v>
      </c>
      <c r="E45" s="14" t="s">
        <v>19</v>
      </c>
      <c r="F45" s="13" t="s">
        <v>191</v>
      </c>
      <c r="G45" s="15" t="s">
        <v>192</v>
      </c>
      <c r="H45" s="16" t="s">
        <v>61</v>
      </c>
      <c r="I45" s="13" t="s">
        <v>193</v>
      </c>
    </row>
    <row r="46" spans="1:9" ht="75" customHeight="1" x14ac:dyDescent="0.3">
      <c r="A46" s="13" t="s">
        <v>189</v>
      </c>
      <c r="B46" s="14">
        <v>12067</v>
      </c>
      <c r="C46" s="14" t="s">
        <v>10</v>
      </c>
      <c r="D46" s="14" t="s">
        <v>190</v>
      </c>
      <c r="E46" s="14" t="s">
        <v>19</v>
      </c>
      <c r="F46" s="13" t="s">
        <v>191</v>
      </c>
      <c r="G46" s="15" t="s">
        <v>194</v>
      </c>
      <c r="H46" s="16" t="s">
        <v>61</v>
      </c>
      <c r="I46" s="13" t="s">
        <v>193</v>
      </c>
    </row>
    <row r="47" spans="1:9" ht="75" customHeight="1" x14ac:dyDescent="0.3">
      <c r="A47" s="13" t="s">
        <v>189</v>
      </c>
      <c r="B47" s="14">
        <v>12069</v>
      </c>
      <c r="C47" s="14" t="s">
        <v>10</v>
      </c>
      <c r="D47" s="14" t="s">
        <v>190</v>
      </c>
      <c r="E47" s="14" t="s">
        <v>19</v>
      </c>
      <c r="F47" s="13" t="s">
        <v>191</v>
      </c>
      <c r="G47" s="15" t="s">
        <v>195</v>
      </c>
      <c r="H47" s="16" t="s">
        <v>61</v>
      </c>
      <c r="I47" s="13" t="s">
        <v>193</v>
      </c>
    </row>
    <row r="48" spans="1:9" ht="75" customHeight="1" x14ac:dyDescent="0.3">
      <c r="A48" s="13" t="s">
        <v>189</v>
      </c>
      <c r="B48" s="14">
        <v>12253</v>
      </c>
      <c r="C48" s="14" t="s">
        <v>10</v>
      </c>
      <c r="D48" s="14" t="s">
        <v>190</v>
      </c>
      <c r="E48" s="14" t="s">
        <v>19</v>
      </c>
      <c r="F48" s="13" t="s">
        <v>191</v>
      </c>
      <c r="G48" s="15" t="s">
        <v>196</v>
      </c>
      <c r="H48" s="16" t="s">
        <v>61</v>
      </c>
      <c r="I48" s="13" t="s">
        <v>193</v>
      </c>
    </row>
    <row r="49" spans="1:9" ht="75" customHeight="1" x14ac:dyDescent="0.3">
      <c r="A49" s="13" t="s">
        <v>189</v>
      </c>
      <c r="B49" s="14">
        <v>12288</v>
      </c>
      <c r="C49" s="14" t="s">
        <v>10</v>
      </c>
      <c r="D49" s="14" t="s">
        <v>190</v>
      </c>
      <c r="E49" s="14" t="s">
        <v>19</v>
      </c>
      <c r="F49" s="13" t="s">
        <v>191</v>
      </c>
      <c r="G49" s="15" t="s">
        <v>197</v>
      </c>
      <c r="H49" s="16" t="s">
        <v>61</v>
      </c>
      <c r="I49" s="13" t="s">
        <v>193</v>
      </c>
    </row>
    <row r="50" spans="1:9" ht="75" customHeight="1" x14ac:dyDescent="0.3">
      <c r="A50" s="13" t="s">
        <v>198</v>
      </c>
      <c r="B50" s="14">
        <v>45</v>
      </c>
      <c r="C50" s="14" t="s">
        <v>10</v>
      </c>
      <c r="D50" s="14" t="s">
        <v>172</v>
      </c>
      <c r="E50" s="14" t="s">
        <v>20</v>
      </c>
      <c r="F50" s="13" t="s">
        <v>199</v>
      </c>
      <c r="G50" s="15" t="s">
        <v>200</v>
      </c>
      <c r="H50" s="16" t="s">
        <v>78</v>
      </c>
      <c r="I50" s="13" t="s">
        <v>201</v>
      </c>
    </row>
    <row r="51" spans="1:9" ht="75" customHeight="1" x14ac:dyDescent="0.3">
      <c r="A51" s="13" t="s">
        <v>202</v>
      </c>
      <c r="B51" s="14">
        <v>41</v>
      </c>
      <c r="C51" s="14" t="s">
        <v>10</v>
      </c>
      <c r="D51" s="14" t="s">
        <v>176</v>
      </c>
      <c r="E51" s="14" t="s">
        <v>18</v>
      </c>
      <c r="F51" s="13" t="s">
        <v>203</v>
      </c>
      <c r="G51" s="15" t="s">
        <v>204</v>
      </c>
      <c r="H51" s="16" t="s">
        <v>61</v>
      </c>
      <c r="I51" s="13" t="s">
        <v>205</v>
      </c>
    </row>
  </sheetData>
  <autoFilter ref="A1:I51"/>
  <conditionalFormatting sqref="H2:H51">
    <cfRule type="expression" dxfId="16" priority="2">
      <formula>$H2="real"</formula>
    </cfRule>
    <cfRule type="expression" dxfId="15" priority="3">
      <formula>$H2="false"</formula>
    </cfRule>
    <cfRule type="expression" dxfId="14" priority="4">
      <formula>$H2="unsure"</formula>
    </cfRule>
  </conditionalFormatting>
  <dataValidations count="1">
    <dataValidation type="list" allowBlank="1" sqref="H2:H51">
      <formula1>"real,false,unsure"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5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24" customWidth="1"/>
    <col min="2" max="2" width="7" customWidth="1"/>
    <col min="3" max="3" width="13" customWidth="1"/>
    <col min="4" max="4" width="8" customWidth="1"/>
    <col min="5" max="5" width="10" customWidth="1"/>
    <col min="6" max="6" width="34" customWidth="1"/>
    <col min="7" max="7" width="70" customWidth="1"/>
    <col min="8" max="8" width="10" customWidth="1"/>
    <col min="9" max="9" width="52" customWidth="1"/>
  </cols>
  <sheetData>
    <row r="1" spans="1:9" ht="30" customHeight="1" x14ac:dyDescent="0.3">
      <c r="A1" s="12" t="s">
        <v>48</v>
      </c>
      <c r="B1" s="12" t="s">
        <v>49</v>
      </c>
      <c r="C1" s="12" t="s">
        <v>50</v>
      </c>
      <c r="D1" s="12" t="s">
        <v>51</v>
      </c>
      <c r="E1" s="12" t="s">
        <v>52</v>
      </c>
      <c r="F1" s="12" t="s">
        <v>53</v>
      </c>
      <c r="G1" s="12" t="s">
        <v>54</v>
      </c>
      <c r="H1" s="12" t="s">
        <v>55</v>
      </c>
      <c r="I1" s="12" t="s">
        <v>56</v>
      </c>
    </row>
    <row r="2" spans="1:9" ht="75" customHeight="1" x14ac:dyDescent="0.3">
      <c r="A2" s="13" t="s">
        <v>206</v>
      </c>
      <c r="B2" s="14">
        <v>274</v>
      </c>
      <c r="C2" s="14" t="s">
        <v>8</v>
      </c>
      <c r="D2" s="14" t="s">
        <v>75</v>
      </c>
      <c r="E2" s="14" t="s">
        <v>19</v>
      </c>
      <c r="F2" s="13" t="s">
        <v>207</v>
      </c>
      <c r="G2" s="15" t="s">
        <v>208</v>
      </c>
      <c r="H2" s="16" t="s">
        <v>61</v>
      </c>
      <c r="I2" s="13" t="s">
        <v>209</v>
      </c>
    </row>
    <row r="3" spans="1:9" ht="75" customHeight="1" x14ac:dyDescent="0.3">
      <c r="A3" s="13" t="s">
        <v>80</v>
      </c>
      <c r="B3" s="14">
        <v>380</v>
      </c>
      <c r="C3" s="14" t="s">
        <v>8</v>
      </c>
      <c r="D3" s="14" t="s">
        <v>75</v>
      </c>
      <c r="E3" s="14" t="s">
        <v>19</v>
      </c>
      <c r="F3" s="13" t="s">
        <v>210</v>
      </c>
      <c r="G3" s="15" t="s">
        <v>211</v>
      </c>
      <c r="H3" s="16" t="s">
        <v>61</v>
      </c>
      <c r="I3" s="13" t="s">
        <v>209</v>
      </c>
    </row>
    <row r="4" spans="1:9" ht="75" customHeight="1" x14ac:dyDescent="0.3">
      <c r="A4" s="13" t="s">
        <v>80</v>
      </c>
      <c r="B4" s="14">
        <v>833</v>
      </c>
      <c r="C4" s="14" t="s">
        <v>8</v>
      </c>
      <c r="D4" s="14" t="s">
        <v>75</v>
      </c>
      <c r="E4" s="14" t="s">
        <v>19</v>
      </c>
      <c r="F4" s="13" t="s">
        <v>212</v>
      </c>
      <c r="G4" s="15" t="s">
        <v>213</v>
      </c>
      <c r="H4" s="16" t="s">
        <v>61</v>
      </c>
      <c r="I4" s="13" t="s">
        <v>209</v>
      </c>
    </row>
    <row r="5" spans="1:9" ht="75" customHeight="1" x14ac:dyDescent="0.3">
      <c r="A5" s="13" t="s">
        <v>80</v>
      </c>
      <c r="B5" s="14">
        <v>840</v>
      </c>
      <c r="C5" s="14" t="s">
        <v>8</v>
      </c>
      <c r="D5" s="14" t="s">
        <v>75</v>
      </c>
      <c r="E5" s="14" t="s">
        <v>19</v>
      </c>
      <c r="F5" s="13" t="s">
        <v>214</v>
      </c>
      <c r="G5" s="15" t="s">
        <v>215</v>
      </c>
      <c r="H5" s="16" t="s">
        <v>61</v>
      </c>
      <c r="I5" s="13" t="s">
        <v>209</v>
      </c>
    </row>
    <row r="6" spans="1:9" ht="75" customHeight="1" x14ac:dyDescent="0.3">
      <c r="A6" s="13" t="s">
        <v>216</v>
      </c>
      <c r="B6" s="14">
        <v>146</v>
      </c>
      <c r="C6" s="14" t="s">
        <v>8</v>
      </c>
      <c r="D6" s="14" t="s">
        <v>58</v>
      </c>
      <c r="E6" s="14" t="s">
        <v>18</v>
      </c>
      <c r="F6" s="13" t="s">
        <v>59</v>
      </c>
      <c r="G6" s="15" t="s">
        <v>217</v>
      </c>
      <c r="H6" s="16" t="s">
        <v>61</v>
      </c>
      <c r="I6" s="13" t="s">
        <v>218</v>
      </c>
    </row>
    <row r="7" spans="1:9" ht="75" customHeight="1" x14ac:dyDescent="0.3">
      <c r="A7" s="13" t="s">
        <v>219</v>
      </c>
      <c r="B7" s="14">
        <v>1750</v>
      </c>
      <c r="C7" s="14" t="s">
        <v>8</v>
      </c>
      <c r="D7" s="14" t="s">
        <v>220</v>
      </c>
      <c r="E7" s="14" t="s">
        <v>17</v>
      </c>
      <c r="F7" s="13" t="s">
        <v>221</v>
      </c>
      <c r="G7" s="15" t="s">
        <v>222</v>
      </c>
      <c r="H7" s="16" t="s">
        <v>61</v>
      </c>
      <c r="I7" s="13" t="s">
        <v>223</v>
      </c>
    </row>
    <row r="8" spans="1:9" ht="75" customHeight="1" x14ac:dyDescent="0.3">
      <c r="A8" s="13" t="s">
        <v>224</v>
      </c>
      <c r="B8" s="14">
        <v>565</v>
      </c>
      <c r="C8" s="14" t="s">
        <v>8</v>
      </c>
      <c r="D8" s="14" t="s">
        <v>83</v>
      </c>
      <c r="E8" s="14" t="s">
        <v>18</v>
      </c>
      <c r="F8" s="13" t="s">
        <v>225</v>
      </c>
      <c r="G8" s="15" t="s">
        <v>226</v>
      </c>
      <c r="H8" s="16" t="s">
        <v>78</v>
      </c>
      <c r="I8" s="13" t="s">
        <v>227</v>
      </c>
    </row>
    <row r="9" spans="1:9" ht="75" customHeight="1" x14ac:dyDescent="0.3">
      <c r="A9" s="13" t="s">
        <v>224</v>
      </c>
      <c r="B9" s="14">
        <v>950</v>
      </c>
      <c r="C9" s="14" t="s">
        <v>8</v>
      </c>
      <c r="D9" s="14" t="s">
        <v>75</v>
      </c>
      <c r="E9" s="14" t="s">
        <v>19</v>
      </c>
      <c r="F9" s="13" t="s">
        <v>228</v>
      </c>
      <c r="G9" s="15" t="s">
        <v>229</v>
      </c>
      <c r="H9" s="16" t="s">
        <v>61</v>
      </c>
      <c r="I9" s="13" t="s">
        <v>209</v>
      </c>
    </row>
    <row r="10" spans="1:9" ht="75" customHeight="1" x14ac:dyDescent="0.3">
      <c r="A10" s="13" t="s">
        <v>230</v>
      </c>
      <c r="B10" s="14">
        <v>322</v>
      </c>
      <c r="C10" s="14" t="s">
        <v>8</v>
      </c>
      <c r="D10" s="14" t="s">
        <v>68</v>
      </c>
      <c r="E10" s="14" t="s">
        <v>18</v>
      </c>
      <c r="F10" s="13" t="s">
        <v>69</v>
      </c>
      <c r="G10" s="15" t="s">
        <v>231</v>
      </c>
      <c r="H10" s="16" t="s">
        <v>61</v>
      </c>
      <c r="I10" s="13" t="s">
        <v>232</v>
      </c>
    </row>
    <row r="11" spans="1:9" ht="75" customHeight="1" x14ac:dyDescent="0.3">
      <c r="A11" s="13" t="s">
        <v>233</v>
      </c>
      <c r="B11" s="14">
        <v>213</v>
      </c>
      <c r="C11" s="14" t="s">
        <v>8</v>
      </c>
      <c r="D11" s="14" t="s">
        <v>75</v>
      </c>
      <c r="E11" s="14" t="s">
        <v>19</v>
      </c>
      <c r="F11" s="13" t="s">
        <v>234</v>
      </c>
      <c r="G11" s="15" t="s">
        <v>235</v>
      </c>
      <c r="H11" s="16" t="s">
        <v>61</v>
      </c>
      <c r="I11" s="13" t="s">
        <v>236</v>
      </c>
    </row>
    <row r="12" spans="1:9" ht="75" customHeight="1" x14ac:dyDescent="0.3">
      <c r="A12" s="13" t="s">
        <v>93</v>
      </c>
      <c r="B12" s="14">
        <v>3018</v>
      </c>
      <c r="C12" s="14" t="s">
        <v>8</v>
      </c>
      <c r="D12" s="14" t="s">
        <v>75</v>
      </c>
      <c r="E12" s="14" t="s">
        <v>19</v>
      </c>
      <c r="F12" s="13" t="s">
        <v>237</v>
      </c>
      <c r="G12" s="15" t="s">
        <v>238</v>
      </c>
      <c r="H12" s="16" t="s">
        <v>78</v>
      </c>
      <c r="I12" s="13" t="s">
        <v>239</v>
      </c>
    </row>
    <row r="13" spans="1:9" ht="75" customHeight="1" x14ac:dyDescent="0.3">
      <c r="A13" s="13" t="s">
        <v>93</v>
      </c>
      <c r="B13" s="14">
        <v>3503</v>
      </c>
      <c r="C13" s="14" t="s">
        <v>8</v>
      </c>
      <c r="D13" s="14" t="s">
        <v>75</v>
      </c>
      <c r="E13" s="14" t="s">
        <v>19</v>
      </c>
      <c r="F13" s="13" t="s">
        <v>240</v>
      </c>
      <c r="G13" s="15" t="s">
        <v>241</v>
      </c>
      <c r="H13" s="16" t="s">
        <v>61</v>
      </c>
      <c r="I13" s="13" t="s">
        <v>209</v>
      </c>
    </row>
    <row r="14" spans="1:9" ht="75" customHeight="1" x14ac:dyDescent="0.3">
      <c r="A14" s="13" t="s">
        <v>242</v>
      </c>
      <c r="B14" s="14">
        <v>20</v>
      </c>
      <c r="C14" s="14" t="s">
        <v>8</v>
      </c>
      <c r="D14" s="14" t="s">
        <v>75</v>
      </c>
      <c r="E14" s="14" t="s">
        <v>19</v>
      </c>
      <c r="F14" s="13" t="s">
        <v>243</v>
      </c>
      <c r="G14" s="15" t="s">
        <v>244</v>
      </c>
      <c r="H14" s="16" t="s">
        <v>61</v>
      </c>
      <c r="I14" s="13" t="s">
        <v>209</v>
      </c>
    </row>
    <row r="15" spans="1:9" ht="75" customHeight="1" x14ac:dyDescent="0.3">
      <c r="A15" s="13" t="s">
        <v>245</v>
      </c>
      <c r="B15" s="14">
        <v>1042</v>
      </c>
      <c r="C15" s="14" t="s">
        <v>11</v>
      </c>
      <c r="D15" s="14" t="s">
        <v>100</v>
      </c>
      <c r="E15" s="14" t="s">
        <v>19</v>
      </c>
      <c r="F15" s="13" t="s">
        <v>101</v>
      </c>
      <c r="G15" s="15" t="s">
        <v>246</v>
      </c>
      <c r="H15" s="16" t="s">
        <v>78</v>
      </c>
      <c r="I15" s="13" t="s">
        <v>247</v>
      </c>
    </row>
    <row r="16" spans="1:9" ht="75" customHeight="1" x14ac:dyDescent="0.3">
      <c r="A16" s="13" t="s">
        <v>224</v>
      </c>
      <c r="B16" s="14">
        <v>1045</v>
      </c>
      <c r="C16" s="14" t="s">
        <v>11</v>
      </c>
      <c r="D16" s="14" t="s">
        <v>105</v>
      </c>
      <c r="E16" s="14" t="s">
        <v>19</v>
      </c>
      <c r="F16" s="13" t="s">
        <v>106</v>
      </c>
      <c r="G16" s="15" t="s">
        <v>248</v>
      </c>
      <c r="H16" s="16" t="s">
        <v>61</v>
      </c>
      <c r="I16" s="13" t="s">
        <v>249</v>
      </c>
    </row>
    <row r="17" spans="1:9" ht="75" customHeight="1" x14ac:dyDescent="0.3">
      <c r="A17" s="13" t="s">
        <v>250</v>
      </c>
      <c r="B17" s="14">
        <v>258</v>
      </c>
      <c r="C17" s="14" t="s">
        <v>11</v>
      </c>
      <c r="D17" s="14" t="s">
        <v>251</v>
      </c>
      <c r="E17" s="14" t="s">
        <v>20</v>
      </c>
      <c r="F17" s="13" t="s">
        <v>252</v>
      </c>
      <c r="G17" s="15" t="s">
        <v>253</v>
      </c>
      <c r="H17" s="16" t="s">
        <v>61</v>
      </c>
      <c r="I17" s="13" t="s">
        <v>254</v>
      </c>
    </row>
    <row r="18" spans="1:9" ht="75" customHeight="1" x14ac:dyDescent="0.3">
      <c r="A18" s="13" t="s">
        <v>250</v>
      </c>
      <c r="B18" s="14">
        <v>691</v>
      </c>
      <c r="C18" s="14" t="s">
        <v>11</v>
      </c>
      <c r="D18" s="14" t="s">
        <v>251</v>
      </c>
      <c r="E18" s="14" t="s">
        <v>20</v>
      </c>
      <c r="F18" s="13" t="s">
        <v>255</v>
      </c>
      <c r="G18" s="15" t="s">
        <v>256</v>
      </c>
      <c r="H18" s="16" t="s">
        <v>61</v>
      </c>
      <c r="I18" s="13" t="s">
        <v>254</v>
      </c>
    </row>
    <row r="19" spans="1:9" ht="75" customHeight="1" x14ac:dyDescent="0.3">
      <c r="A19" s="13" t="s">
        <v>250</v>
      </c>
      <c r="B19" s="14">
        <v>726</v>
      </c>
      <c r="C19" s="14" t="s">
        <v>11</v>
      </c>
      <c r="D19" s="14" t="s">
        <v>251</v>
      </c>
      <c r="E19" s="14" t="s">
        <v>20</v>
      </c>
      <c r="F19" s="13" t="s">
        <v>255</v>
      </c>
      <c r="G19" s="15" t="s">
        <v>257</v>
      </c>
      <c r="H19" s="16" t="s">
        <v>61</v>
      </c>
      <c r="I19" s="13" t="s">
        <v>254</v>
      </c>
    </row>
    <row r="20" spans="1:9" ht="75" customHeight="1" x14ac:dyDescent="0.3">
      <c r="A20" s="13" t="s">
        <v>258</v>
      </c>
      <c r="B20" s="14">
        <v>219</v>
      </c>
      <c r="C20" s="14" t="s">
        <v>11</v>
      </c>
      <c r="D20" s="14" t="s">
        <v>251</v>
      </c>
      <c r="E20" s="14" t="s">
        <v>20</v>
      </c>
      <c r="F20" s="13" t="s">
        <v>259</v>
      </c>
      <c r="G20" s="15" t="s">
        <v>260</v>
      </c>
      <c r="H20" s="16" t="s">
        <v>61</v>
      </c>
      <c r="I20" s="13" t="s">
        <v>254</v>
      </c>
    </row>
    <row r="21" spans="1:9" ht="75" customHeight="1" x14ac:dyDescent="0.3">
      <c r="A21" s="13" t="s">
        <v>93</v>
      </c>
      <c r="B21" s="14">
        <v>181</v>
      </c>
      <c r="C21" s="14" t="s">
        <v>11</v>
      </c>
      <c r="D21" s="14" t="s">
        <v>261</v>
      </c>
      <c r="E21" s="14" t="s">
        <v>19</v>
      </c>
      <c r="F21" s="13" t="s">
        <v>262</v>
      </c>
      <c r="G21" s="15" t="s">
        <v>263</v>
      </c>
      <c r="H21" s="16" t="s">
        <v>78</v>
      </c>
      <c r="I21" s="13" t="s">
        <v>264</v>
      </c>
    </row>
    <row r="22" spans="1:9" ht="75" customHeight="1" x14ac:dyDescent="0.3">
      <c r="A22" s="13" t="s">
        <v>93</v>
      </c>
      <c r="B22" s="14">
        <v>309</v>
      </c>
      <c r="C22" s="14" t="s">
        <v>11</v>
      </c>
      <c r="D22" s="14" t="s">
        <v>115</v>
      </c>
      <c r="E22" s="14" t="s">
        <v>20</v>
      </c>
      <c r="F22" s="13" t="s">
        <v>116</v>
      </c>
      <c r="G22" s="15" t="s">
        <v>126</v>
      </c>
      <c r="H22" s="16" t="s">
        <v>78</v>
      </c>
      <c r="I22" s="13" t="s">
        <v>118</v>
      </c>
    </row>
    <row r="23" spans="1:9" ht="75" customHeight="1" x14ac:dyDescent="0.3">
      <c r="A23" s="13" t="s">
        <v>93</v>
      </c>
      <c r="B23" s="14">
        <v>2456</v>
      </c>
      <c r="C23" s="14" t="s">
        <v>11</v>
      </c>
      <c r="D23" s="14" t="s">
        <v>251</v>
      </c>
      <c r="E23" s="14" t="s">
        <v>20</v>
      </c>
      <c r="F23" s="13" t="s">
        <v>265</v>
      </c>
      <c r="G23" s="15" t="s">
        <v>266</v>
      </c>
      <c r="H23" s="16" t="s">
        <v>61</v>
      </c>
      <c r="I23" s="13" t="s">
        <v>254</v>
      </c>
    </row>
    <row r="24" spans="1:9" ht="75" customHeight="1" x14ac:dyDescent="0.3">
      <c r="A24" s="13" t="s">
        <v>93</v>
      </c>
      <c r="B24" s="14">
        <v>2468</v>
      </c>
      <c r="C24" s="14" t="s">
        <v>11</v>
      </c>
      <c r="D24" s="14" t="s">
        <v>251</v>
      </c>
      <c r="E24" s="14" t="s">
        <v>20</v>
      </c>
      <c r="F24" s="13" t="s">
        <v>265</v>
      </c>
      <c r="G24" s="15" t="s">
        <v>267</v>
      </c>
      <c r="H24" s="16" t="s">
        <v>61</v>
      </c>
      <c r="I24" s="13" t="s">
        <v>254</v>
      </c>
    </row>
    <row r="25" spans="1:9" ht="75" customHeight="1" x14ac:dyDescent="0.3">
      <c r="A25" s="13" t="s">
        <v>93</v>
      </c>
      <c r="B25" s="14">
        <v>2478</v>
      </c>
      <c r="C25" s="14" t="s">
        <v>11</v>
      </c>
      <c r="D25" s="14" t="s">
        <v>251</v>
      </c>
      <c r="E25" s="14" t="s">
        <v>20</v>
      </c>
      <c r="F25" s="13" t="s">
        <v>265</v>
      </c>
      <c r="G25" s="15" t="s">
        <v>268</v>
      </c>
      <c r="H25" s="16" t="s">
        <v>61</v>
      </c>
      <c r="I25" s="13" t="s">
        <v>254</v>
      </c>
    </row>
    <row r="26" spans="1:9" ht="75" customHeight="1" x14ac:dyDescent="0.3">
      <c r="A26" s="13" t="s">
        <v>93</v>
      </c>
      <c r="B26" s="14">
        <v>2491</v>
      </c>
      <c r="C26" s="14" t="s">
        <v>11</v>
      </c>
      <c r="D26" s="14" t="s">
        <v>251</v>
      </c>
      <c r="E26" s="14" t="s">
        <v>20</v>
      </c>
      <c r="F26" s="13" t="s">
        <v>265</v>
      </c>
      <c r="G26" s="15" t="s">
        <v>269</v>
      </c>
      <c r="H26" s="16" t="s">
        <v>61</v>
      </c>
      <c r="I26" s="13" t="s">
        <v>254</v>
      </c>
    </row>
    <row r="27" spans="1:9" ht="75" customHeight="1" x14ac:dyDescent="0.3">
      <c r="A27" s="13" t="s">
        <v>206</v>
      </c>
      <c r="B27" s="14">
        <v>784</v>
      </c>
      <c r="C27" s="14" t="s">
        <v>9</v>
      </c>
      <c r="D27" s="14" t="s">
        <v>131</v>
      </c>
      <c r="E27" s="14" t="s">
        <v>19</v>
      </c>
      <c r="F27" s="13" t="s">
        <v>270</v>
      </c>
      <c r="G27" s="15" t="s">
        <v>271</v>
      </c>
      <c r="H27" s="16" t="s">
        <v>61</v>
      </c>
      <c r="I27" s="13" t="s">
        <v>272</v>
      </c>
    </row>
    <row r="28" spans="1:9" ht="75" customHeight="1" x14ac:dyDescent="0.3">
      <c r="A28" s="13" t="s">
        <v>273</v>
      </c>
      <c r="B28" s="14">
        <v>514</v>
      </c>
      <c r="C28" s="14" t="s">
        <v>9</v>
      </c>
      <c r="D28" s="14" t="s">
        <v>131</v>
      </c>
      <c r="E28" s="14" t="s">
        <v>19</v>
      </c>
      <c r="F28" s="13" t="s">
        <v>270</v>
      </c>
      <c r="G28" s="15" t="s">
        <v>274</v>
      </c>
      <c r="H28" s="16" t="s">
        <v>61</v>
      </c>
      <c r="I28" s="13" t="s">
        <v>272</v>
      </c>
    </row>
    <row r="29" spans="1:9" ht="75" customHeight="1" x14ac:dyDescent="0.3">
      <c r="A29" s="13" t="s">
        <v>275</v>
      </c>
      <c r="B29" s="14">
        <v>86</v>
      </c>
      <c r="C29" s="14" t="s">
        <v>9</v>
      </c>
      <c r="D29" s="14" t="s">
        <v>131</v>
      </c>
      <c r="E29" s="14" t="s">
        <v>19</v>
      </c>
      <c r="F29" s="13" t="s">
        <v>270</v>
      </c>
      <c r="G29" s="15" t="s">
        <v>276</v>
      </c>
      <c r="H29" s="16" t="s">
        <v>78</v>
      </c>
      <c r="I29" s="13" t="s">
        <v>277</v>
      </c>
    </row>
    <row r="30" spans="1:9" ht="75" customHeight="1" x14ac:dyDescent="0.3">
      <c r="A30" s="13" t="s">
        <v>278</v>
      </c>
      <c r="B30" s="14">
        <v>171</v>
      </c>
      <c r="C30" s="14" t="s">
        <v>9</v>
      </c>
      <c r="D30" s="14" t="s">
        <v>131</v>
      </c>
      <c r="E30" s="14" t="s">
        <v>19</v>
      </c>
      <c r="F30" s="13" t="s">
        <v>270</v>
      </c>
      <c r="G30" s="15" t="s">
        <v>279</v>
      </c>
      <c r="H30" s="16" t="s">
        <v>61</v>
      </c>
      <c r="I30" s="13" t="s">
        <v>280</v>
      </c>
    </row>
    <row r="31" spans="1:9" ht="75" customHeight="1" x14ac:dyDescent="0.3">
      <c r="A31" s="13" t="s">
        <v>219</v>
      </c>
      <c r="B31" s="14">
        <v>959</v>
      </c>
      <c r="C31" s="14" t="s">
        <v>9</v>
      </c>
      <c r="D31" s="14" t="s">
        <v>131</v>
      </c>
      <c r="E31" s="14" t="s">
        <v>19</v>
      </c>
      <c r="F31" s="13" t="s">
        <v>270</v>
      </c>
      <c r="G31" s="15" t="s">
        <v>281</v>
      </c>
      <c r="H31" s="16" t="s">
        <v>61</v>
      </c>
      <c r="I31" s="13" t="s">
        <v>272</v>
      </c>
    </row>
    <row r="32" spans="1:9" ht="75" customHeight="1" x14ac:dyDescent="0.3">
      <c r="A32" s="13" t="s">
        <v>250</v>
      </c>
      <c r="B32" s="14">
        <v>159</v>
      </c>
      <c r="C32" s="14" t="s">
        <v>9</v>
      </c>
      <c r="D32" s="14" t="s">
        <v>282</v>
      </c>
      <c r="E32" s="14" t="s">
        <v>16</v>
      </c>
      <c r="F32" s="13" t="s">
        <v>283</v>
      </c>
      <c r="G32" s="15" t="s">
        <v>284</v>
      </c>
      <c r="H32" s="16" t="s">
        <v>78</v>
      </c>
      <c r="I32" s="13" t="s">
        <v>285</v>
      </c>
    </row>
    <row r="33" spans="1:9" ht="75" customHeight="1" x14ac:dyDescent="0.3">
      <c r="A33" s="13" t="s">
        <v>250</v>
      </c>
      <c r="B33" s="14">
        <v>161</v>
      </c>
      <c r="C33" s="14" t="s">
        <v>9</v>
      </c>
      <c r="D33" s="14" t="s">
        <v>282</v>
      </c>
      <c r="E33" s="14" t="s">
        <v>16</v>
      </c>
      <c r="F33" s="13" t="s">
        <v>283</v>
      </c>
      <c r="G33" s="15" t="s">
        <v>286</v>
      </c>
      <c r="H33" s="16" t="s">
        <v>78</v>
      </c>
      <c r="I33" s="13" t="s">
        <v>287</v>
      </c>
    </row>
    <row r="34" spans="1:9" ht="75" customHeight="1" x14ac:dyDescent="0.3">
      <c r="A34" s="13" t="s">
        <v>288</v>
      </c>
      <c r="B34" s="14">
        <v>717</v>
      </c>
      <c r="C34" s="14" t="s">
        <v>9</v>
      </c>
      <c r="D34" s="14" t="s">
        <v>131</v>
      </c>
      <c r="E34" s="14" t="s">
        <v>19</v>
      </c>
      <c r="F34" s="13" t="s">
        <v>270</v>
      </c>
      <c r="G34" s="15" t="s">
        <v>289</v>
      </c>
      <c r="H34" s="16" t="s">
        <v>61</v>
      </c>
      <c r="I34" s="13" t="s">
        <v>272</v>
      </c>
    </row>
    <row r="35" spans="1:9" ht="75" customHeight="1" x14ac:dyDescent="0.3">
      <c r="A35" s="13" t="s">
        <v>290</v>
      </c>
      <c r="B35" s="14">
        <v>611</v>
      </c>
      <c r="C35" s="14" t="s">
        <v>9</v>
      </c>
      <c r="D35" s="14" t="s">
        <v>131</v>
      </c>
      <c r="E35" s="14" t="s">
        <v>19</v>
      </c>
      <c r="F35" s="13" t="s">
        <v>270</v>
      </c>
      <c r="G35" s="15" t="s">
        <v>291</v>
      </c>
      <c r="H35" s="16" t="s">
        <v>61</v>
      </c>
      <c r="I35" s="13" t="s">
        <v>292</v>
      </c>
    </row>
    <row r="36" spans="1:9" ht="75" customHeight="1" x14ac:dyDescent="0.3">
      <c r="A36" s="13" t="s">
        <v>290</v>
      </c>
      <c r="B36" s="14">
        <v>958</v>
      </c>
      <c r="C36" s="14" t="s">
        <v>9</v>
      </c>
      <c r="D36" s="14" t="s">
        <v>131</v>
      </c>
      <c r="E36" s="14" t="s">
        <v>19</v>
      </c>
      <c r="F36" s="13" t="s">
        <v>270</v>
      </c>
      <c r="G36" s="15" t="s">
        <v>293</v>
      </c>
      <c r="H36" s="16" t="s">
        <v>61</v>
      </c>
      <c r="I36" s="13" t="s">
        <v>294</v>
      </c>
    </row>
    <row r="37" spans="1:9" ht="75" customHeight="1" x14ac:dyDescent="0.3">
      <c r="A37" s="13" t="s">
        <v>295</v>
      </c>
      <c r="B37" s="14">
        <v>124</v>
      </c>
      <c r="C37" s="14" t="s">
        <v>9</v>
      </c>
      <c r="D37" s="14" t="s">
        <v>131</v>
      </c>
      <c r="E37" s="14" t="s">
        <v>19</v>
      </c>
      <c r="F37" s="13" t="s">
        <v>270</v>
      </c>
      <c r="G37" s="15" t="s">
        <v>296</v>
      </c>
      <c r="H37" s="16" t="s">
        <v>61</v>
      </c>
      <c r="I37" s="13" t="s">
        <v>272</v>
      </c>
    </row>
    <row r="38" spans="1:9" ht="75" customHeight="1" x14ac:dyDescent="0.3">
      <c r="A38" s="13" t="s">
        <v>297</v>
      </c>
      <c r="B38" s="14">
        <v>123</v>
      </c>
      <c r="C38" s="14" t="s">
        <v>9</v>
      </c>
      <c r="D38" s="14" t="s">
        <v>131</v>
      </c>
      <c r="E38" s="14" t="s">
        <v>19</v>
      </c>
      <c r="F38" s="13" t="s">
        <v>270</v>
      </c>
      <c r="G38" s="15" t="s">
        <v>298</v>
      </c>
      <c r="H38" s="16" t="s">
        <v>78</v>
      </c>
      <c r="I38" s="13" t="s">
        <v>299</v>
      </c>
    </row>
    <row r="39" spans="1:9" ht="75" customHeight="1" x14ac:dyDescent="0.3">
      <c r="A39" s="13" t="s">
        <v>300</v>
      </c>
      <c r="B39" s="14">
        <v>35</v>
      </c>
      <c r="C39" s="14" t="s">
        <v>10</v>
      </c>
      <c r="D39" s="14" t="s">
        <v>190</v>
      </c>
      <c r="E39" s="14" t="s">
        <v>19</v>
      </c>
      <c r="F39" s="13" t="s">
        <v>301</v>
      </c>
      <c r="G39" s="15" t="s">
        <v>302</v>
      </c>
      <c r="H39" s="16" t="s">
        <v>61</v>
      </c>
      <c r="I39" s="13" t="s">
        <v>303</v>
      </c>
    </row>
    <row r="40" spans="1:9" ht="75" customHeight="1" x14ac:dyDescent="0.3">
      <c r="A40" s="13" t="s">
        <v>300</v>
      </c>
      <c r="B40" s="14">
        <v>947</v>
      </c>
      <c r="C40" s="14" t="s">
        <v>10</v>
      </c>
      <c r="D40" s="14" t="s">
        <v>190</v>
      </c>
      <c r="E40" s="14" t="s">
        <v>19</v>
      </c>
      <c r="F40" s="13" t="s">
        <v>304</v>
      </c>
      <c r="G40" s="15" t="s">
        <v>305</v>
      </c>
      <c r="H40" s="16" t="s">
        <v>61</v>
      </c>
      <c r="I40" s="13" t="s">
        <v>303</v>
      </c>
    </row>
    <row r="41" spans="1:9" ht="75" customHeight="1" x14ac:dyDescent="0.3">
      <c r="A41" s="13" t="s">
        <v>306</v>
      </c>
      <c r="B41" s="14">
        <v>399</v>
      </c>
      <c r="C41" s="14" t="s">
        <v>10</v>
      </c>
      <c r="D41" s="14" t="s">
        <v>180</v>
      </c>
      <c r="E41" s="14" t="s">
        <v>18</v>
      </c>
      <c r="F41" s="13" t="s">
        <v>307</v>
      </c>
      <c r="G41" s="15" t="s">
        <v>308</v>
      </c>
      <c r="H41" s="16" t="s">
        <v>61</v>
      </c>
      <c r="I41" s="13" t="s">
        <v>309</v>
      </c>
    </row>
    <row r="42" spans="1:9" ht="75" customHeight="1" x14ac:dyDescent="0.3">
      <c r="A42" s="13" t="s">
        <v>273</v>
      </c>
      <c r="B42" s="14">
        <v>832</v>
      </c>
      <c r="C42" s="14" t="s">
        <v>10</v>
      </c>
      <c r="D42" s="14" t="s">
        <v>180</v>
      </c>
      <c r="E42" s="14" t="s">
        <v>18</v>
      </c>
      <c r="F42" s="13" t="s">
        <v>310</v>
      </c>
      <c r="G42" s="15" t="s">
        <v>311</v>
      </c>
      <c r="H42" s="16" t="s">
        <v>61</v>
      </c>
      <c r="I42" s="13" t="s">
        <v>312</v>
      </c>
    </row>
    <row r="43" spans="1:9" ht="75" customHeight="1" x14ac:dyDescent="0.3">
      <c r="A43" s="13" t="s">
        <v>313</v>
      </c>
      <c r="B43" s="14">
        <v>1259</v>
      </c>
      <c r="C43" s="14" t="s">
        <v>10</v>
      </c>
      <c r="D43" s="14" t="s">
        <v>185</v>
      </c>
      <c r="E43" s="14" t="s">
        <v>18</v>
      </c>
      <c r="F43" s="13" t="s">
        <v>314</v>
      </c>
      <c r="G43" s="15" t="s">
        <v>315</v>
      </c>
      <c r="H43" s="16" t="s">
        <v>78</v>
      </c>
      <c r="I43" s="13" t="s">
        <v>316</v>
      </c>
    </row>
    <row r="44" spans="1:9" ht="75" customHeight="1" x14ac:dyDescent="0.3">
      <c r="A44" s="13" t="s">
        <v>317</v>
      </c>
      <c r="B44" s="14">
        <v>473</v>
      </c>
      <c r="C44" s="14" t="s">
        <v>10</v>
      </c>
      <c r="D44" s="14" t="s">
        <v>180</v>
      </c>
      <c r="E44" s="14" t="s">
        <v>18</v>
      </c>
      <c r="F44" s="13" t="s">
        <v>318</v>
      </c>
      <c r="G44" s="15" t="s">
        <v>319</v>
      </c>
      <c r="H44" s="16" t="s">
        <v>61</v>
      </c>
      <c r="I44" s="13" t="s">
        <v>320</v>
      </c>
    </row>
    <row r="45" spans="1:9" ht="75" customHeight="1" x14ac:dyDescent="0.3">
      <c r="A45" s="13" t="s">
        <v>278</v>
      </c>
      <c r="B45" s="14">
        <v>294</v>
      </c>
      <c r="C45" s="14" t="s">
        <v>10</v>
      </c>
      <c r="D45" s="14" t="s">
        <v>185</v>
      </c>
      <c r="E45" s="14" t="s">
        <v>18</v>
      </c>
      <c r="F45" s="13" t="s">
        <v>321</v>
      </c>
      <c r="G45" s="15" t="s">
        <v>322</v>
      </c>
      <c r="H45" s="16" t="s">
        <v>78</v>
      </c>
      <c r="I45" s="13" t="s">
        <v>323</v>
      </c>
    </row>
    <row r="46" spans="1:9" ht="75" customHeight="1" x14ac:dyDescent="0.3">
      <c r="A46" s="13" t="s">
        <v>324</v>
      </c>
      <c r="B46" s="14">
        <v>28</v>
      </c>
      <c r="C46" s="14" t="s">
        <v>10</v>
      </c>
      <c r="D46" s="14" t="s">
        <v>325</v>
      </c>
      <c r="E46" s="14" t="s">
        <v>19</v>
      </c>
      <c r="F46" s="13" t="s">
        <v>326</v>
      </c>
      <c r="G46" s="15" t="s">
        <v>327</v>
      </c>
      <c r="H46" s="16" t="s">
        <v>61</v>
      </c>
      <c r="I46" s="13" t="s">
        <v>328</v>
      </c>
    </row>
    <row r="47" spans="1:9" ht="75" customHeight="1" x14ac:dyDescent="0.3">
      <c r="A47" s="13" t="s">
        <v>329</v>
      </c>
      <c r="B47" s="14">
        <v>27</v>
      </c>
      <c r="C47" s="14" t="s">
        <v>10</v>
      </c>
      <c r="D47" s="14" t="s">
        <v>330</v>
      </c>
      <c r="E47" s="14" t="s">
        <v>18</v>
      </c>
      <c r="F47" s="13" t="s">
        <v>331</v>
      </c>
      <c r="G47" s="15" t="s">
        <v>332</v>
      </c>
      <c r="H47" s="16" t="s">
        <v>61</v>
      </c>
      <c r="I47" s="13" t="s">
        <v>333</v>
      </c>
    </row>
    <row r="48" spans="1:9" ht="75" customHeight="1" x14ac:dyDescent="0.3">
      <c r="A48" s="13" t="s">
        <v>93</v>
      </c>
      <c r="B48" s="14">
        <v>3354</v>
      </c>
      <c r="C48" s="14" t="s">
        <v>10</v>
      </c>
      <c r="D48" s="14" t="s">
        <v>334</v>
      </c>
      <c r="E48" s="14" t="s">
        <v>19</v>
      </c>
      <c r="F48" s="13" t="s">
        <v>335</v>
      </c>
      <c r="G48" s="15" t="s">
        <v>336</v>
      </c>
      <c r="H48" s="16" t="s">
        <v>61</v>
      </c>
      <c r="I48" s="13" t="s">
        <v>337</v>
      </c>
    </row>
    <row r="49" spans="1:9" ht="75" customHeight="1" x14ac:dyDescent="0.3">
      <c r="A49" s="13" t="s">
        <v>242</v>
      </c>
      <c r="B49" s="14">
        <v>390</v>
      </c>
      <c r="C49" s="14" t="s">
        <v>10</v>
      </c>
      <c r="D49" s="14" t="s">
        <v>338</v>
      </c>
      <c r="E49" s="14" t="s">
        <v>20</v>
      </c>
      <c r="F49" s="13" t="s">
        <v>339</v>
      </c>
      <c r="G49" s="15" t="s">
        <v>340</v>
      </c>
      <c r="H49" s="16" t="s">
        <v>78</v>
      </c>
      <c r="I49" s="13" t="s">
        <v>341</v>
      </c>
    </row>
    <row r="50" spans="1:9" ht="75" customHeight="1" x14ac:dyDescent="0.3">
      <c r="A50" s="13" t="s">
        <v>342</v>
      </c>
      <c r="B50" s="14">
        <v>41</v>
      </c>
      <c r="C50" s="14" t="s">
        <v>10</v>
      </c>
      <c r="D50" s="14" t="s">
        <v>343</v>
      </c>
      <c r="E50" s="14" t="s">
        <v>20</v>
      </c>
      <c r="F50" s="13" t="s">
        <v>344</v>
      </c>
      <c r="G50" s="15" t="s">
        <v>345</v>
      </c>
      <c r="H50" s="16" t="s">
        <v>78</v>
      </c>
      <c r="I50" s="13" t="s">
        <v>346</v>
      </c>
    </row>
    <row r="51" spans="1:9" ht="75" customHeight="1" x14ac:dyDescent="0.3">
      <c r="A51" s="13" t="s">
        <v>347</v>
      </c>
      <c r="B51" s="14">
        <v>188</v>
      </c>
      <c r="C51" s="14" t="s">
        <v>10</v>
      </c>
      <c r="D51" s="14" t="s">
        <v>334</v>
      </c>
      <c r="E51" s="14" t="s">
        <v>19</v>
      </c>
      <c r="F51" s="13" t="s">
        <v>348</v>
      </c>
      <c r="G51" s="15" t="s">
        <v>349</v>
      </c>
      <c r="H51" s="16" t="s">
        <v>61</v>
      </c>
      <c r="I51" s="13" t="s">
        <v>350</v>
      </c>
    </row>
  </sheetData>
  <autoFilter ref="A1:I51"/>
  <conditionalFormatting sqref="H2:H51">
    <cfRule type="expression" dxfId="13" priority="2">
      <formula>$H2="real"</formula>
    </cfRule>
    <cfRule type="expression" dxfId="12" priority="3">
      <formula>$H2="false"</formula>
    </cfRule>
    <cfRule type="expression" dxfId="11" priority="4">
      <formula>$H2="unsure"</formula>
    </cfRule>
  </conditionalFormatting>
  <dataValidations count="1">
    <dataValidation type="list" allowBlank="1" sqref="H2:H51">
      <formula1>"real,false,unsure"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24" customWidth="1"/>
    <col min="2" max="2" width="7" customWidth="1"/>
    <col min="3" max="3" width="13" customWidth="1"/>
    <col min="4" max="4" width="9" customWidth="1"/>
    <col min="5" max="5" width="34" customWidth="1"/>
    <col min="6" max="6" width="52" customWidth="1"/>
    <col min="7" max="7" width="40" customWidth="1"/>
    <col min="8" max="8" width="12" customWidth="1"/>
    <col min="9" max="9" width="52" customWidth="1"/>
  </cols>
  <sheetData>
    <row r="1" spans="1:9" ht="30" customHeight="1" x14ac:dyDescent="0.3">
      <c r="A1" s="12" t="s">
        <v>48</v>
      </c>
      <c r="B1" s="12" t="s">
        <v>49</v>
      </c>
      <c r="C1" s="12" t="s">
        <v>50</v>
      </c>
      <c r="D1" s="12" t="s">
        <v>51</v>
      </c>
      <c r="E1" s="12" t="s">
        <v>53</v>
      </c>
      <c r="F1" s="12" t="s">
        <v>351</v>
      </c>
      <c r="G1" s="12" t="s">
        <v>352</v>
      </c>
      <c r="H1" s="12" t="s">
        <v>353</v>
      </c>
      <c r="I1" s="12" t="s">
        <v>56</v>
      </c>
    </row>
    <row r="2" spans="1:9" ht="75" customHeight="1" x14ac:dyDescent="0.3">
      <c r="A2" s="13" t="s">
        <v>354</v>
      </c>
      <c r="B2" s="14">
        <v>6</v>
      </c>
      <c r="C2" s="14" t="s">
        <v>11</v>
      </c>
      <c r="D2" s="14" t="s">
        <v>355</v>
      </c>
      <c r="E2" s="13" t="s">
        <v>356</v>
      </c>
      <c r="F2" s="13" t="s">
        <v>357</v>
      </c>
      <c r="G2" s="15" t="s">
        <v>358</v>
      </c>
      <c r="H2" s="16">
        <v>4</v>
      </c>
      <c r="I2" s="13" t="s">
        <v>359</v>
      </c>
    </row>
    <row r="3" spans="1:9" ht="60" customHeight="1" x14ac:dyDescent="0.3">
      <c r="A3" s="13" t="s">
        <v>360</v>
      </c>
      <c r="B3" s="14">
        <v>7</v>
      </c>
      <c r="C3" s="14" t="s">
        <v>11</v>
      </c>
      <c r="D3" s="14" t="s">
        <v>100</v>
      </c>
      <c r="E3" s="13" t="s">
        <v>101</v>
      </c>
      <c r="F3" s="13" t="s">
        <v>361</v>
      </c>
      <c r="G3" s="15" t="s">
        <v>362</v>
      </c>
      <c r="H3" s="16">
        <v>3</v>
      </c>
      <c r="I3" s="13" t="s">
        <v>363</v>
      </c>
    </row>
    <row r="4" spans="1:9" ht="75" customHeight="1" x14ac:dyDescent="0.3">
      <c r="A4" s="13" t="s">
        <v>364</v>
      </c>
      <c r="B4" s="14">
        <v>7</v>
      </c>
      <c r="C4" s="14" t="s">
        <v>11</v>
      </c>
      <c r="D4" s="14" t="s">
        <v>115</v>
      </c>
      <c r="E4" s="13" t="s">
        <v>116</v>
      </c>
      <c r="F4" s="13" t="s">
        <v>365</v>
      </c>
      <c r="G4" s="15" t="s">
        <v>366</v>
      </c>
      <c r="H4" s="16">
        <v>3</v>
      </c>
      <c r="I4" s="13" t="s">
        <v>367</v>
      </c>
    </row>
    <row r="5" spans="1:9" ht="45" customHeight="1" x14ac:dyDescent="0.3">
      <c r="A5" s="13" t="s">
        <v>364</v>
      </c>
      <c r="B5" s="14">
        <v>14</v>
      </c>
      <c r="C5" s="14" t="s">
        <v>11</v>
      </c>
      <c r="D5" s="14" t="s">
        <v>261</v>
      </c>
      <c r="E5" s="13" t="s">
        <v>262</v>
      </c>
      <c r="F5" s="13" t="s">
        <v>368</v>
      </c>
      <c r="G5" s="15" t="s">
        <v>369</v>
      </c>
      <c r="H5" s="16">
        <v>5</v>
      </c>
      <c r="I5" s="13" t="s">
        <v>370</v>
      </c>
    </row>
    <row r="6" spans="1:9" ht="75" customHeight="1" x14ac:dyDescent="0.3">
      <c r="A6" s="13" t="s">
        <v>371</v>
      </c>
      <c r="B6" s="14">
        <v>8</v>
      </c>
      <c r="C6" s="14" t="s">
        <v>11</v>
      </c>
      <c r="D6" s="14" t="s">
        <v>372</v>
      </c>
      <c r="E6" s="13" t="s">
        <v>373</v>
      </c>
      <c r="F6" s="13" t="s">
        <v>374</v>
      </c>
      <c r="G6" s="15" t="s">
        <v>375</v>
      </c>
      <c r="H6" s="16">
        <v>3</v>
      </c>
      <c r="I6" s="13" t="s">
        <v>376</v>
      </c>
    </row>
    <row r="7" spans="1:9" ht="75" customHeight="1" x14ac:dyDescent="0.3">
      <c r="A7" s="13" t="s">
        <v>377</v>
      </c>
      <c r="B7" s="14">
        <v>6</v>
      </c>
      <c r="C7" s="14" t="s">
        <v>8</v>
      </c>
      <c r="D7" s="14" t="s">
        <v>378</v>
      </c>
      <c r="E7" s="13" t="s">
        <v>379</v>
      </c>
      <c r="F7" s="13" t="s">
        <v>380</v>
      </c>
      <c r="G7" s="15" t="s">
        <v>381</v>
      </c>
      <c r="H7" s="16">
        <v>1</v>
      </c>
      <c r="I7" s="13" t="s">
        <v>382</v>
      </c>
    </row>
    <row r="8" spans="1:9" ht="60" customHeight="1" x14ac:dyDescent="0.3">
      <c r="A8" s="13" t="s">
        <v>383</v>
      </c>
      <c r="B8" s="14">
        <v>4</v>
      </c>
      <c r="C8" s="14" t="s">
        <v>10</v>
      </c>
      <c r="D8" s="14" t="s">
        <v>180</v>
      </c>
      <c r="E8" s="13" t="s">
        <v>384</v>
      </c>
      <c r="F8" s="13" t="s">
        <v>385</v>
      </c>
      <c r="G8" s="15" t="s">
        <v>386</v>
      </c>
      <c r="H8" s="16">
        <v>3</v>
      </c>
      <c r="I8" s="13" t="s">
        <v>387</v>
      </c>
    </row>
    <row r="9" spans="1:9" ht="45" customHeight="1" x14ac:dyDescent="0.3">
      <c r="A9" s="13" t="s">
        <v>388</v>
      </c>
      <c r="B9" s="14">
        <v>6</v>
      </c>
      <c r="C9" s="14" t="s">
        <v>8</v>
      </c>
      <c r="D9" s="14" t="s">
        <v>389</v>
      </c>
      <c r="E9" s="13" t="s">
        <v>390</v>
      </c>
      <c r="F9" s="13" t="s">
        <v>391</v>
      </c>
      <c r="G9" s="15" t="s">
        <v>392</v>
      </c>
      <c r="H9" s="16">
        <v>4</v>
      </c>
      <c r="I9" s="13" t="s">
        <v>393</v>
      </c>
    </row>
    <row r="10" spans="1:9" ht="60" customHeight="1" x14ac:dyDescent="0.3">
      <c r="A10" s="13" t="s">
        <v>394</v>
      </c>
      <c r="B10" s="14">
        <v>9</v>
      </c>
      <c r="C10" s="14" t="s">
        <v>8</v>
      </c>
      <c r="D10" s="14" t="s">
        <v>395</v>
      </c>
      <c r="E10" s="13" t="s">
        <v>396</v>
      </c>
      <c r="F10" s="13" t="s">
        <v>397</v>
      </c>
      <c r="G10" s="15" t="s">
        <v>398</v>
      </c>
      <c r="H10" s="16">
        <v>5</v>
      </c>
      <c r="I10" s="13" t="s">
        <v>399</v>
      </c>
    </row>
    <row r="11" spans="1:9" ht="60" customHeight="1" x14ac:dyDescent="0.3">
      <c r="A11" s="13" t="s">
        <v>400</v>
      </c>
      <c r="B11" s="14">
        <v>6</v>
      </c>
      <c r="C11" s="14" t="s">
        <v>8</v>
      </c>
      <c r="D11" s="14" t="s">
        <v>395</v>
      </c>
      <c r="E11" s="13" t="s">
        <v>401</v>
      </c>
      <c r="F11" s="13" t="s">
        <v>402</v>
      </c>
      <c r="G11" s="15" t="s">
        <v>403</v>
      </c>
      <c r="H11" s="16">
        <v>4</v>
      </c>
      <c r="I11" s="13" t="s">
        <v>404</v>
      </c>
    </row>
    <row r="12" spans="1:9" ht="60" customHeight="1" x14ac:dyDescent="0.3">
      <c r="A12" s="13" t="s">
        <v>405</v>
      </c>
      <c r="B12" s="14">
        <v>6</v>
      </c>
      <c r="C12" s="14" t="s">
        <v>8</v>
      </c>
      <c r="D12" s="14" t="s">
        <v>58</v>
      </c>
      <c r="E12" s="13" t="s">
        <v>59</v>
      </c>
      <c r="F12" s="13" t="s">
        <v>406</v>
      </c>
      <c r="G12" s="15" t="s">
        <v>407</v>
      </c>
      <c r="H12" s="16">
        <v>3</v>
      </c>
      <c r="I12" s="13" t="s">
        <v>408</v>
      </c>
    </row>
    <row r="13" spans="1:9" ht="45" customHeight="1" x14ac:dyDescent="0.3">
      <c r="A13" s="13" t="s">
        <v>409</v>
      </c>
      <c r="B13" s="14">
        <v>4</v>
      </c>
      <c r="C13" s="14" t="s">
        <v>9</v>
      </c>
      <c r="D13" s="14" t="s">
        <v>410</v>
      </c>
      <c r="E13" s="13" t="s">
        <v>411</v>
      </c>
      <c r="F13" s="13" t="s">
        <v>412</v>
      </c>
      <c r="G13" s="15" t="s">
        <v>413</v>
      </c>
      <c r="H13" s="16">
        <v>4</v>
      </c>
      <c r="I13" s="13" t="s">
        <v>414</v>
      </c>
    </row>
    <row r="14" spans="1:9" ht="60" customHeight="1" x14ac:dyDescent="0.3">
      <c r="A14" s="13" t="s">
        <v>409</v>
      </c>
      <c r="B14" s="14">
        <v>9</v>
      </c>
      <c r="C14" s="14" t="s">
        <v>9</v>
      </c>
      <c r="D14" s="14" t="s">
        <v>415</v>
      </c>
      <c r="E14" s="13" t="s">
        <v>416</v>
      </c>
      <c r="F14" s="13" t="s">
        <v>417</v>
      </c>
      <c r="G14" s="15" t="s">
        <v>418</v>
      </c>
      <c r="H14" s="16">
        <v>2</v>
      </c>
      <c r="I14" s="13" t="s">
        <v>419</v>
      </c>
    </row>
    <row r="15" spans="1:9" ht="75" customHeight="1" x14ac:dyDescent="0.3">
      <c r="A15" s="13" t="s">
        <v>420</v>
      </c>
      <c r="B15" s="14">
        <v>8</v>
      </c>
      <c r="C15" s="14" t="s">
        <v>8</v>
      </c>
      <c r="D15" s="14" t="s">
        <v>83</v>
      </c>
      <c r="E15" s="13" t="s">
        <v>421</v>
      </c>
      <c r="F15" s="13" t="s">
        <v>422</v>
      </c>
      <c r="G15" s="15" t="s">
        <v>423</v>
      </c>
      <c r="H15" s="16">
        <v>3</v>
      </c>
      <c r="I15" s="13" t="s">
        <v>424</v>
      </c>
    </row>
    <row r="16" spans="1:9" ht="60" customHeight="1" x14ac:dyDescent="0.3">
      <c r="A16" s="13" t="s">
        <v>425</v>
      </c>
      <c r="B16" s="14">
        <v>10</v>
      </c>
      <c r="C16" s="14" t="s">
        <v>8</v>
      </c>
      <c r="D16" s="14" t="s">
        <v>395</v>
      </c>
      <c r="E16" s="13" t="s">
        <v>426</v>
      </c>
      <c r="F16" s="13" t="s">
        <v>427</v>
      </c>
      <c r="G16" s="15" t="s">
        <v>428</v>
      </c>
      <c r="H16" s="16">
        <v>1</v>
      </c>
      <c r="I16" s="13" t="s">
        <v>429</v>
      </c>
    </row>
    <row r="17" spans="1:9" ht="90" customHeight="1" x14ac:dyDescent="0.3">
      <c r="A17" s="13" t="s">
        <v>430</v>
      </c>
      <c r="B17" s="14">
        <v>4</v>
      </c>
      <c r="C17" s="14" t="s">
        <v>8</v>
      </c>
      <c r="D17" s="14" t="s">
        <v>63</v>
      </c>
      <c r="E17" s="13" t="s">
        <v>431</v>
      </c>
      <c r="F17" s="13" t="s">
        <v>432</v>
      </c>
      <c r="G17" s="15" t="s">
        <v>433</v>
      </c>
      <c r="H17" s="16">
        <v>5</v>
      </c>
      <c r="I17" s="13" t="s">
        <v>434</v>
      </c>
    </row>
    <row r="18" spans="1:9" ht="75" customHeight="1" x14ac:dyDescent="0.3">
      <c r="A18" s="13" t="s">
        <v>430</v>
      </c>
      <c r="B18" s="14">
        <v>9</v>
      </c>
      <c r="C18" s="14" t="s">
        <v>8</v>
      </c>
      <c r="D18" s="14" t="s">
        <v>63</v>
      </c>
      <c r="E18" s="13" t="s">
        <v>435</v>
      </c>
      <c r="F18" s="13" t="s">
        <v>436</v>
      </c>
      <c r="G18" s="15" t="s">
        <v>437</v>
      </c>
      <c r="H18" s="16">
        <v>5</v>
      </c>
      <c r="I18" s="13" t="s">
        <v>434</v>
      </c>
    </row>
    <row r="19" spans="1:9" ht="45" customHeight="1" x14ac:dyDescent="0.3">
      <c r="A19" s="13" t="s">
        <v>438</v>
      </c>
      <c r="B19" s="14">
        <v>8</v>
      </c>
      <c r="C19" s="14" t="s">
        <v>8</v>
      </c>
      <c r="D19" s="14" t="s">
        <v>220</v>
      </c>
      <c r="E19" s="13" t="s">
        <v>439</v>
      </c>
      <c r="F19" s="13" t="s">
        <v>440</v>
      </c>
      <c r="G19" s="15" t="s">
        <v>441</v>
      </c>
      <c r="H19" s="16">
        <v>4</v>
      </c>
      <c r="I19" s="13" t="s">
        <v>442</v>
      </c>
    </row>
    <row r="20" spans="1:9" ht="45" customHeight="1" x14ac:dyDescent="0.3">
      <c r="A20" s="13" t="s">
        <v>443</v>
      </c>
      <c r="B20" s="14">
        <v>6</v>
      </c>
      <c r="C20" s="14" t="s">
        <v>8</v>
      </c>
      <c r="D20" s="14" t="s">
        <v>444</v>
      </c>
      <c r="E20" s="13" t="s">
        <v>445</v>
      </c>
      <c r="F20" s="13" t="s">
        <v>446</v>
      </c>
      <c r="G20" s="15" t="s">
        <v>447</v>
      </c>
      <c r="H20" s="16">
        <v>5</v>
      </c>
      <c r="I20" s="13" t="s">
        <v>448</v>
      </c>
    </row>
    <row r="21" spans="1:9" ht="45" customHeight="1" x14ac:dyDescent="0.3">
      <c r="A21" s="13" t="s">
        <v>443</v>
      </c>
      <c r="B21" s="14">
        <v>13</v>
      </c>
      <c r="C21" s="14" t="s">
        <v>8</v>
      </c>
      <c r="D21" s="14" t="s">
        <v>449</v>
      </c>
      <c r="E21" s="13" t="s">
        <v>450</v>
      </c>
      <c r="F21" s="13" t="s">
        <v>451</v>
      </c>
      <c r="G21" s="15" t="s">
        <v>452</v>
      </c>
      <c r="H21" s="16">
        <v>4</v>
      </c>
      <c r="I21" s="13" t="s">
        <v>453</v>
      </c>
    </row>
  </sheetData>
  <autoFilter ref="A1:I21"/>
  <conditionalFormatting sqref="H2:H21">
    <cfRule type="expression" dxfId="10" priority="2">
      <formula>$H2=1</formula>
    </cfRule>
    <cfRule type="expression" dxfId="9" priority="3">
      <formula>$H2=2</formula>
    </cfRule>
    <cfRule type="expression" dxfId="8" priority="4">
      <formula>$H2=3</formula>
    </cfRule>
    <cfRule type="expression" dxfId="7" priority="5">
      <formula>$H2=4</formula>
    </cfRule>
    <cfRule type="expression" dxfId="6" priority="6">
      <formula>$H2=5</formula>
    </cfRule>
  </conditionalFormatting>
  <dataValidations count="1">
    <dataValidation type="whole" allowBlank="1" sqref="H2:H21">
      <formula1>1</formula1>
      <formula2>5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22" customWidth="1"/>
    <col min="2" max="2" width="30" customWidth="1"/>
    <col min="3" max="3" width="50" customWidth="1"/>
    <col min="4" max="4" width="11" customWidth="1"/>
    <col min="5" max="6" width="14" customWidth="1"/>
    <col min="7" max="7" width="56" customWidth="1"/>
  </cols>
  <sheetData>
    <row r="1" spans="1:7" ht="30" customHeight="1" x14ac:dyDescent="0.3">
      <c r="A1" s="12" t="s">
        <v>454</v>
      </c>
      <c r="B1" s="12" t="s">
        <v>455</v>
      </c>
      <c r="C1" s="12" t="s">
        <v>456</v>
      </c>
      <c r="D1" s="12" t="s">
        <v>457</v>
      </c>
      <c r="E1" s="12" t="s">
        <v>458</v>
      </c>
      <c r="F1" s="12" t="s">
        <v>459</v>
      </c>
      <c r="G1" s="12" t="s">
        <v>56</v>
      </c>
    </row>
    <row r="2" spans="1:7" ht="45" customHeight="1" x14ac:dyDescent="0.3">
      <c r="A2" s="13" t="s">
        <v>460</v>
      </c>
      <c r="B2" s="13" t="s">
        <v>461</v>
      </c>
      <c r="C2" s="13" t="s">
        <v>462</v>
      </c>
      <c r="D2" s="17">
        <v>0.9</v>
      </c>
      <c r="E2" s="14" t="s">
        <v>463</v>
      </c>
      <c r="F2" s="16" t="s">
        <v>463</v>
      </c>
      <c r="G2" s="13" t="s">
        <v>464</v>
      </c>
    </row>
    <row r="3" spans="1:7" ht="45" customHeight="1" x14ac:dyDescent="0.3">
      <c r="A3" s="13" t="s">
        <v>465</v>
      </c>
      <c r="B3" s="13" t="s">
        <v>466</v>
      </c>
      <c r="C3" s="13"/>
      <c r="D3" s="17"/>
      <c r="E3" s="14" t="s">
        <v>467</v>
      </c>
      <c r="F3" s="16" t="s">
        <v>467</v>
      </c>
      <c r="G3" s="13" t="s">
        <v>468</v>
      </c>
    </row>
    <row r="4" spans="1:7" ht="45" customHeight="1" x14ac:dyDescent="0.3">
      <c r="A4" s="13" t="s">
        <v>469</v>
      </c>
      <c r="B4" s="13" t="s">
        <v>470</v>
      </c>
      <c r="C4" s="13" t="s">
        <v>401</v>
      </c>
      <c r="D4" s="17">
        <v>0.9</v>
      </c>
      <c r="E4" s="14" t="s">
        <v>463</v>
      </c>
      <c r="F4" s="16" t="s">
        <v>463</v>
      </c>
      <c r="G4" s="13" t="s">
        <v>471</v>
      </c>
    </row>
    <row r="5" spans="1:7" ht="45" customHeight="1" x14ac:dyDescent="0.3">
      <c r="A5" s="13" t="s">
        <v>472</v>
      </c>
      <c r="B5" s="13" t="s">
        <v>473</v>
      </c>
      <c r="C5" s="13"/>
      <c r="D5" s="17"/>
      <c r="E5" s="14" t="s">
        <v>467</v>
      </c>
      <c r="F5" s="16" t="s">
        <v>467</v>
      </c>
      <c r="G5" s="13" t="s">
        <v>468</v>
      </c>
    </row>
    <row r="6" spans="1:7" ht="45" customHeight="1" x14ac:dyDescent="0.3">
      <c r="A6" s="13" t="s">
        <v>474</v>
      </c>
      <c r="B6" s="13" t="s">
        <v>475</v>
      </c>
      <c r="C6" s="13"/>
      <c r="D6" s="17"/>
      <c r="E6" s="14" t="s">
        <v>467</v>
      </c>
      <c r="F6" s="16" t="s">
        <v>467</v>
      </c>
      <c r="G6" s="13" t="s">
        <v>476</v>
      </c>
    </row>
    <row r="7" spans="1:7" ht="45" customHeight="1" x14ac:dyDescent="0.3">
      <c r="A7" s="13" t="s">
        <v>477</v>
      </c>
      <c r="B7" s="13" t="s">
        <v>478</v>
      </c>
      <c r="C7" s="13" t="s">
        <v>396</v>
      </c>
      <c r="D7" s="17">
        <v>0.9</v>
      </c>
      <c r="E7" s="14" t="s">
        <v>463</v>
      </c>
      <c r="F7" s="16" t="s">
        <v>463</v>
      </c>
      <c r="G7" s="13" t="s">
        <v>479</v>
      </c>
    </row>
    <row r="8" spans="1:7" ht="45" customHeight="1" x14ac:dyDescent="0.3">
      <c r="A8" s="13" t="s">
        <v>480</v>
      </c>
      <c r="B8" s="13" t="s">
        <v>481</v>
      </c>
      <c r="C8" s="13"/>
      <c r="D8" s="17"/>
      <c r="E8" s="14" t="s">
        <v>467</v>
      </c>
      <c r="F8" s="16" t="s">
        <v>467</v>
      </c>
      <c r="G8" s="13" t="s">
        <v>476</v>
      </c>
    </row>
    <row r="9" spans="1:7" ht="45" customHeight="1" x14ac:dyDescent="0.3">
      <c r="A9" s="13" t="s">
        <v>482</v>
      </c>
      <c r="B9" s="13" t="s">
        <v>483</v>
      </c>
      <c r="C9" s="13" t="s">
        <v>484</v>
      </c>
      <c r="D9" s="17">
        <v>0.9</v>
      </c>
      <c r="E9" s="14" t="s">
        <v>485</v>
      </c>
      <c r="F9" s="16" t="s">
        <v>485</v>
      </c>
      <c r="G9" s="13" t="s">
        <v>486</v>
      </c>
    </row>
    <row r="10" spans="1:7" ht="45" customHeight="1" x14ac:dyDescent="0.3">
      <c r="A10" s="13" t="s">
        <v>487</v>
      </c>
      <c r="B10" s="13" t="s">
        <v>488</v>
      </c>
      <c r="C10" s="13"/>
      <c r="D10" s="17"/>
      <c r="E10" s="14" t="s">
        <v>467</v>
      </c>
      <c r="F10" s="16" t="s">
        <v>467</v>
      </c>
      <c r="G10" s="13" t="s">
        <v>468</v>
      </c>
    </row>
    <row r="11" spans="1:7" ht="45" customHeight="1" x14ac:dyDescent="0.3">
      <c r="A11" s="13" t="s">
        <v>489</v>
      </c>
      <c r="B11" s="13" t="s">
        <v>490</v>
      </c>
      <c r="C11" s="13"/>
      <c r="D11" s="17"/>
      <c r="E11" s="14" t="s">
        <v>467</v>
      </c>
      <c r="F11" s="16" t="s">
        <v>467</v>
      </c>
      <c r="G11" s="13" t="s">
        <v>468</v>
      </c>
    </row>
  </sheetData>
  <autoFilter ref="A1:G11"/>
  <conditionalFormatting sqref="E2:E11">
    <cfRule type="expression" dxfId="5" priority="2">
      <formula>$E2="right"</formula>
    </cfRule>
    <cfRule type="expression" dxfId="4" priority="3">
      <formula>$E2="wrong"</formula>
    </cfRule>
    <cfRule type="expression" dxfId="3" priority="4">
      <formula>$E2="missed"</formula>
    </cfRule>
  </conditionalFormatting>
  <conditionalFormatting sqref="F2:F11">
    <cfRule type="expression" dxfId="2" priority="5">
      <formula>$F2="right"</formula>
    </cfRule>
    <cfRule type="expression" dxfId="1" priority="6">
      <formula>$F2="wrong"</formula>
    </cfRule>
    <cfRule type="expression" dxfId="0" priority="7">
      <formula>$F2="missed"</formula>
    </cfRule>
  </conditionalFormatting>
  <dataValidations count="1">
    <dataValidation type="list" allowBlank="1" sqref="F2:F11">
      <formula1>"right,partly right,vague,wrong,missed"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Summary</vt:lpstr>
      <vt:lpstr>Audit</vt:lpstr>
      <vt:lpstr>Audit before fixes</vt:lpstr>
      <vt:lpstr>Rating</vt:lpstr>
      <vt:lpstr>Model findings</vt:lpstr>
      <vt:lpstr>Audit!Print_Titles</vt:lpstr>
      <vt:lpstr>'Audit before fixes'!Print_Titles</vt:lpstr>
      <vt:lpstr>'Model findings'!Print_Titles</vt:lpstr>
      <vt:lpstr>Rating!Print_Titles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hansinee soundararajan</cp:lastModifiedBy>
  <cp:revision>0</cp:revision>
  <dcterms:created xsi:type="dcterms:W3CDTF">2026-10-17T17:09:58Z</dcterms:created>
  <dcterms:modified xsi:type="dcterms:W3CDTF">2026-10-17T17:53:33Z</dcterms:modified>
  <dc:language>en-US</dc:language>
</cp:coreProperties>
</file>